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f9532c59ea4f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cao_D020" sheetId="1" r:id="Rbb9acb04a08b4d92"/>
    <x:sheet xmlns:r="http://schemas.openxmlformats.org/officeDocument/2006/relationships" name="Matriz_17x17" sheetId="2" r:id="Re42148d5a8eb4ee1"/>
    <x:sheet xmlns:r="http://schemas.openxmlformats.org/officeDocument/2006/relationships" name="Dados_Brutos" sheetId="3" r:id="R3b2abad82f7c470c"/>
    <x:sheet xmlns:r="http://schemas.openxmlformats.org/officeDocument/2006/relationships" name="Comparacao_D030" sheetId="4" r:id="R4f108eb0d9824b5c"/>
    <x:sheet xmlns:r="http://schemas.openxmlformats.org/officeDocument/2006/relationships" name="Mapas_D030" sheetId="5" r:id="R1c92db6eade44153"/>
    <x:sheet xmlns:r="http://schemas.openxmlformats.org/officeDocument/2006/relationships" name="Dados_Brutos_D030" sheetId="6" r:id="Refa1b8d245f24427"/>
    <x:sheet xmlns:r="http://schemas.openxmlformats.org/officeDocument/2006/relationships" name="Comparacao_D040" sheetId="7" r:id="Rc2a171b5124e41c0"/>
    <x:sheet xmlns:r="http://schemas.openxmlformats.org/officeDocument/2006/relationships" name="Mapas_D040" sheetId="8" r:id="R9d7f80867a0e4195"/>
    <x:sheet xmlns:r="http://schemas.openxmlformats.org/officeDocument/2006/relationships" name="Dados_Brutos_D040" sheetId="9" r:id="R7b6c082d2f044e09"/>
    <x:sheet xmlns:r="http://schemas.openxmlformats.org/officeDocument/2006/relationships" name="Resumo_Final" sheetId="10" r:id="R163c45e1fbde4d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"/>
    <x:numFmt numFmtId="201" formatCode="0%"/>
    <x:numFmt numFmtId="202" formatCode="0.0000"/>
    <x:numFmt numFmtId="203" formatCode="0"/>
    <x:numFmt numFmtId="204" formatCode="0.00"/>
    <x:numFmt numFmtId="205" formatCode="0.00%"/>
    <x:numFmt numFmtId="206" formatCode="+0.00;-0.00;0.00"/>
    <x:numFmt numFmtId="207" formatCode="0.0"/>
  </x:numFmts>
  <x:fonts count="13">
    <x:font>
      <x:sz val="11"/>
      <x:name val="Carlito"/>
    </x:font>
    <x:font>
      <x:b/>
      <x:sz val="15"/>
      <x:color rgb="FFFFFFFF"/>
      <x:name val="Arial"/>
    </x:font>
    <x:font>
      <x:i/>
      <x:sz val="10"/>
      <x:color rgb="FF595959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C00000"/>
      <x:name val="Arial"/>
    </x:font>
    <x:font>
      <x:b/>
      <x:sz val="10"/>
      <x:color rgb="FFFFFFFF"/>
      <x:name val="Arial"/>
    </x:font>
    <x:font>
      <x:sz val="9"/>
      <x:name val="Arial"/>
    </x:font>
    <x:font>
      <x:b/>
      <x:sz val="10"/>
      <x:name val="Arial"/>
    </x:font>
    <x:font>
      <x:b/>
      <x:sz val="9"/>
      <x:color rgb="FFFFFFFF"/>
      <x:name val="Arial"/>
    </x:font>
    <x:font>
      <x:b/>
      <x:sz val="14"/>
      <x:color rgb="FFFFFFFF"/>
      <x:name val="Arial"/>
    </x:font>
    <x:font>
      <x:i/>
      <x:sz val="11"/>
      <x:name val="Arial"/>
    </x:font>
    <x:font>
      <x:i/>
      <x:sz val="10"/>
      <x:name val="Arial"/>
    </x:font>
  </x:fonts>
  <x:fills count="2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5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medium">
        <x:color rgb="FFBF9000"/>
      </x:left>
      <x:right style="medium">
        <x:color rgb="FFBF9000"/>
      </x:right>
      <x:top style="medium">
        <x:color rgb="FFBF9000"/>
      </x:top>
      <x:bottom style="medium">
        <x:color rgb="FFBF9000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200" fontId="5" fillId="5" borderId="2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202" fontId="4" fillId="6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3" xfId="0" applyNumberFormat="1" applyFont="1" applyFill="1" applyBorder="1"/>
    <x:xf numFmtId="0" fontId="6" fillId="2" borderId="3" xfId="0" applyNumberFormat="1" applyFont="1" applyFill="1" applyBorder="1" applyAlignment="1">
      <x:alignment wrapText="1"/>
    </x:xf>
    <x:xf numFmtId="0" fontId="6" fillId="2" borderId="3" xfId="0" applyNumberFormat="1" applyFont="1" applyFill="1" applyBorder="1" applyAlignment="1">
      <x:alignment horizont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0" fontId="7" fillId="0" borderId="4" xfId="0" applyNumberFormat="1" applyFont="1" applyFill="1" applyBorder="1" applyAlignment="1">
      <x:alignment vertical="center"/>
    </x:xf>
    <x:xf numFmtId="0" fontId="7" fillId="3" borderId="4" xfId="0" applyNumberFormat="1" applyFont="1" applyFill="1" applyBorder="1" applyAlignment="1">
      <x:alignment vertical="center"/>
    </x:xf>
    <x:xf numFmtId="0" fontId="7" fillId="5" borderId="4" xfId="0" applyNumberFormat="1" applyFont="1" applyFill="1" applyBorder="1" applyAlignment="1">
      <x:alignment vertical="center"/>
    </x:xf>
    <x:xf numFmtId="0" fontId="7" fillId="7" borderId="4" xfId="0" applyNumberFormat="1" applyFont="1" applyFill="1" applyBorder="1" applyAlignment="1">
      <x:alignment vertical="center"/>
    </x:xf>
    <x:xf numFmtId="203" fontId="7" fillId="0" borderId="4" xfId="0" applyNumberFormat="1" applyFont="1" applyFill="1" applyBorder="1" applyAlignment="1">
      <x:alignment vertical="center"/>
    </x:xf>
    <x:xf numFmtId="204" fontId="7" fillId="0" borderId="4" xfId="0" applyNumberFormat="1" applyFont="1" applyFill="1" applyBorder="1" applyAlignment="1">
      <x:alignment vertical="center"/>
    </x:xf>
    <x:xf numFmtId="202" fontId="7" fillId="3" borderId="4" xfId="0" applyNumberFormat="1" applyFont="1" applyFill="1" applyBorder="1" applyAlignment="1">
      <x:alignment vertical="center"/>
    </x:xf>
    <x:xf numFmtId="202" fontId="7" fillId="5" borderId="4" xfId="0" applyNumberFormat="1" applyFont="1" applyFill="1" applyBorder="1" applyAlignment="1">
      <x:alignment vertical="center"/>
    </x:xf>
    <x:xf numFmtId="202" fontId="7" fillId="7" borderId="4" xfId="0" applyNumberFormat="1" applyFont="1" applyFill="1" applyBorder="1" applyAlignment="1">
      <x:alignment vertical="center"/>
    </x:xf>
    <x:xf numFmtId="205" fontId="7" fillId="7" borderId="4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 vertical="center"/>
    </x:xf>
    <x:xf numFmtId="204" fontId="3" fillId="4" borderId="3" xfId="0" applyNumberFormat="1" applyFont="1" applyFill="1" applyBorder="1"/>
    <x:xf numFmtId="204" fontId="3" fillId="4" borderId="3" xfId="0" applyNumberFormat="1" applyFont="1" applyFill="1" applyBorder="1" applyAlignment="1">
      <x:alignment horizontal="center"/>
    </x:xf>
    <x:xf numFmtId="204" fontId="3" fillId="4" borderId="3" xfId="0" applyNumberFormat="1" applyFont="1" applyFill="1" applyBorder="1" applyAlignment="1">
      <x:alignment horizontal="center" vertical="center"/>
    </x:xf>
    <x:xf numFmtId="0" fontId="7" fillId="0" borderId="3" xfId="0" applyNumberFormat="1" applyFont="1" applyFill="1" applyBorder="1"/>
    <x:xf numFmtId="204" fontId="7" fillId="0" borderId="3" xfId="0" applyNumberFormat="1" applyFont="1" applyFill="1" applyBorder="1"/>
    <x:xf numFmtId="204" fontId="7" fillId="0" borderId="3" xfId="0" applyNumberFormat="1" applyFont="1" applyFill="1" applyBorder="1" applyAlignment="1">
      <x:alignment horizontal="center"/>
    </x:xf>
    <x:xf numFmtId="204" fontId="7" fillId="0" borderId="3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vertical="center"/>
    </x:xf>
    <x:xf numFmtId="0" fontId="8" fillId="10" borderId="1" xfId="0" applyNumberFormat="1" applyFont="1" applyFill="1" applyBorder="1" applyAlignment="1">
      <x:alignment vertical="center"/>
    </x:xf>
    <x:xf numFmtId="202" fontId="4" fillId="10" borderId="1" xfId="0" applyNumberFormat="1" applyFont="1" applyFill="1" applyBorder="1" applyAlignment="1">
      <x:alignment vertical="center"/>
    </x:xf>
    <x:xf numFmtId="205" fontId="4" fillId="10" borderId="1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wrapText="1"/>
    </x:xf>
    <x:xf numFmtId="0" fontId="4" fillId="11" borderId="1" xfId="0" applyNumberFormat="1" applyFont="1" applyFill="1" applyBorder="1" applyAlignment="1">
      <x:alignment vertical="center" wrapText="1"/>
    </x:xf>
    <x:xf numFmtId="202" fontId="7" fillId="12" borderId="4" xfId="0" applyNumberFormat="1" applyFont="1" applyFill="1" applyBorder="1" applyAlignment="1">
      <x:alignment vertical="center"/>
    </x:xf>
    <x:xf numFmtId="0" fontId="9" fillId="2" borderId="3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0" xfId="0" applyNumberFormat="1" applyFont="1" applyFill="1" applyBorder="1" applyAlignment="1">
      <x:alignment horizontal="center"/>
    </x:xf>
    <x:xf numFmtId="0" fontId="10" fillId="13" borderId="0" xfId="0" applyNumberFormat="1" applyFont="1" applyFill="1" applyBorder="1" applyAlignment="1">
      <x:alignment horizontal="center" vertical="center"/>
    </x:xf>
    <x:xf numFmtId="0" fontId="3" fillId="9" borderId="3" xfId="0" applyNumberFormat="1" applyFont="1" applyFill="1" applyBorder="1"/>
    <x:xf numFmtId="204" fontId="3" fillId="9" borderId="3" xfId="0" applyNumberFormat="1" applyFont="1" applyFill="1" applyBorder="1"/>
    <x:xf numFmtId="204" fontId="3" fillId="9" borderId="3" xfId="0" applyNumberFormat="1" applyFont="1" applyFill="1" applyBorder="1" applyAlignment="1">
      <x:alignment horizontal="center"/>
    </x:xf>
    <x:xf numFmtId="206" fontId="7" fillId="0" borderId="3" xfId="0" applyNumberFormat="1" applyFont="1" applyFill="1" applyBorder="1"/>
    <x:xf numFmtId="206" fontId="7" fillId="0" borderId="3" xfId="0" applyNumberFormat="1" applyFont="1" applyFill="1" applyBorder="1" applyAlignment="1">
      <x:alignment horizontal="center"/>
    </x:xf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1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0" xfId="0" applyNumberFormat="1" applyFont="1" applyFill="1" applyBorder="1" applyAlignment="1">
      <x:alignment horizontal="left"/>
    </x:xf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202" fontId="7" fillId="0" borderId="4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12" fillId="16" borderId="0" xfId="0" applyNumberFormat="1" applyFont="1" applyFill="1" applyBorder="1"/>
    <x:xf numFmtId="0" fontId="12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6" fillId="17" borderId="0" xfId="0" applyNumberFormat="1" applyFont="1" applyFill="1" applyBorder="1"/>
    <x:xf numFmtId="0" fontId="6" fillId="17" borderId="3" xfId="0" applyNumberFormat="1" applyFont="1" applyFill="1" applyBorder="1"/>
    <x:xf numFmtId="0" fontId="6" fillId="17" borderId="3" xfId="0" applyNumberFormat="1" applyFont="1" applyFill="1" applyBorder="1" applyAlignment="1">
      <x:alignment wrapText="1"/>
    </x:xf>
    <x:xf numFmtId="0" fontId="6" fillId="17" borderId="3" xfId="0" applyNumberFormat="1" applyFont="1" applyFill="1" applyBorder="1" applyAlignment="1">
      <x:alignment horizontal="center" wrapText="1"/>
    </x:xf>
    <x:xf numFmtId="0" fontId="6" fillId="17" borderId="3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7" fillId="18" borderId="0" xfId="0" applyNumberFormat="1" applyFont="1" applyFill="1" applyBorder="1"/>
    <x:xf numFmtId="0" fontId="7" fillId="18" borderId="4" xfId="0" applyNumberFormat="1" applyFont="1" applyFill="1" applyBorder="1"/>
    <x:xf numFmtId="0" fontId="7" fillId="18" borderId="4" xfId="0" applyNumberFormat="1" applyFont="1" applyFill="1" applyBorder="1" applyAlignment="1">
      <x:alignment vertical="center"/>
    </x:xf>
    <x:xf numFmtId="202" fontId="7" fillId="18" borderId="4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7" fillId="19" borderId="0" xfId="0" applyNumberFormat="1" applyFont="1" applyFill="1" applyBorder="1"/>
    <x:xf numFmtId="0" fontId="7" fillId="19" borderId="4" xfId="0" applyNumberFormat="1" applyFont="1" applyFill="1" applyBorder="1"/>
    <x:xf numFmtId="0" fontId="7" fillId="19" borderId="4" xfId="0" applyNumberFormat="1" applyFont="1" applyFill="1" applyBorder="1" applyAlignment="1">
      <x:alignment vertical="center"/>
    </x:xf>
    <x:xf numFmtId="205" fontId="7" fillId="19" borderId="4" xfId="0" applyNumberFormat="1" applyFont="1" applyFill="1" applyBorder="1" applyAlignment="1">
      <x:alignment vertical="center"/>
    </x:xf>
    <x:xf numFmtId="202" fontId="7" fillId="19" borderId="4" xfId="0" applyNumberFormat="1" applyFont="1" applyFill="1" applyBorder="1" applyAlignment="1">
      <x:alignment vertical="center"/>
    </x:xf>
    <x:xf numFmtId="0" fontId="7" fillId="16" borderId="4" xfId="0" applyNumberFormat="1" applyFont="1" applyFill="1" applyBorder="1" applyAlignment="1">
      <x:alignment vertical="center"/>
    </x:xf>
    <x:xf numFmtId="0" fontId="7" fillId="20" borderId="4" xfId="0" applyNumberFormat="1" applyFont="1" applyFill="1" applyBorder="1" applyAlignment="1">
      <x:alignment vertical="center"/>
    </x:xf>
    <x:xf numFmtId="202" fontId="7" fillId="16" borderId="4" xfId="0" applyNumberFormat="1" applyFont="1" applyFill="1" applyBorder="1" applyAlignment="1">
      <x:alignment vertical="center"/>
    </x:xf>
    <x:xf numFmtId="202" fontId="7" fillId="20" borderId="4" xfId="0" applyNumberFormat="1" applyFont="1" applyFill="1" applyBorder="1" applyAlignment="1">
      <x:alignment vertical="center"/>
    </x:xf>
    <x:xf numFmtId="204" fontId="6" fillId="17" borderId="3" xfId="0" applyNumberFormat="1" applyFont="1" applyFill="1" applyBorder="1"/>
    <x:xf numFmtId="204" fontId="6" fillId="17" borderId="3" xfId="0" applyNumberFormat="1" applyFont="1" applyFill="1" applyBorder="1" applyAlignment="1">
      <x:alignment wrapText="1"/>
    </x:xf>
    <x:xf numFmtId="204" fontId="6" fillId="17" borderId="3" xfId="0" applyNumberFormat="1" applyFont="1" applyFill="1" applyBorder="1" applyAlignment="1">
      <x:alignment horizontal="center" wrapText="1"/>
    </x:xf>
    <x:xf numFmtId="204" fontId="6" fillId="17" borderId="3" xfId="0" applyNumberFormat="1" applyFont="1" applyFill="1" applyBorder="1" applyAlignment="1">
      <x:alignment horizontal="center" vertical="center" wrapText="1"/>
    </x:xf>
    <x:xf numFmtId="206" fontId="7" fillId="0" borderId="3" xfId="0" applyNumberFormat="1" applyFont="1" applyFill="1" applyBorder="1" applyAlignment="1">
      <x:alignment horizontal="center" vertical="center"/>
    </x:xf>
    <x:xf numFmtId="0" fontId="11" fillId="16" borderId="0" xfId="0" applyNumberFormat="1" applyFont="1" applyFill="1" applyBorder="1"/>
    <x:xf numFmtId="207" fontId="7" fillId="0" borderId="4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horizontal="center"/>
    </x:xf>
    <x:xf numFmtId="0" fontId="1" fillId="21" borderId="0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/>
    <x:xf numFmtId="0" fontId="12" fillId="22" borderId="0" xfId="0" applyNumberFormat="1" applyFont="1" applyFill="1" applyBorder="1"/>
    <x:xf numFmtId="0" fontId="12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6" fillId="23" borderId="0" xfId="0" applyNumberFormat="1" applyFont="1" applyFill="1" applyBorder="1"/>
    <x:xf numFmtId="0" fontId="6" fillId="23" borderId="3" xfId="0" applyNumberFormat="1" applyFont="1" applyFill="1" applyBorder="1"/>
    <x:xf numFmtId="0" fontId="6" fillId="23" borderId="3" xfId="0" applyNumberFormat="1" applyFont="1" applyFill="1" applyBorder="1" applyAlignment="1">
      <x:alignment wrapText="1"/>
    </x:xf>
    <x:xf numFmtId="0" fontId="6" fillId="23" borderId="3" xfId="0" applyNumberFormat="1" applyFont="1" applyFill="1" applyBorder="1" applyAlignment="1">
      <x:alignment horizontal="center" wrapText="1"/>
    </x:xf>
    <x:xf numFmtId="0" fontId="6" fillId="23" borderId="3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7" fillId="24" borderId="0" xfId="0" applyNumberFormat="1" applyFont="1" applyFill="1" applyBorder="1"/>
    <x:xf numFmtId="0" fontId="7" fillId="24" borderId="4" xfId="0" applyNumberFormat="1" applyFont="1" applyFill="1" applyBorder="1"/>
    <x:xf numFmtId="0" fontId="7" fillId="24" borderId="4" xfId="0" applyNumberFormat="1" applyFont="1" applyFill="1" applyBorder="1" applyAlignment="1">
      <x:alignment vertical="center"/>
    </x:xf>
    <x:xf numFmtId="202" fontId="7" fillId="24" borderId="4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/>
    <x:xf numFmtId="0" fontId="7" fillId="25" borderId="0" xfId="0" applyNumberFormat="1" applyFont="1" applyFill="1" applyBorder="1"/>
    <x:xf numFmtId="0" fontId="7" fillId="25" borderId="4" xfId="0" applyNumberFormat="1" applyFont="1" applyFill="1" applyBorder="1"/>
    <x:xf numFmtId="0" fontId="7" fillId="25" borderId="4" xfId="0" applyNumberFormat="1" applyFont="1" applyFill="1" applyBorder="1" applyAlignment="1">
      <x:alignment vertical="center"/>
    </x:xf>
    <x:xf numFmtId="205" fontId="7" fillId="25" borderId="4" xfId="0" applyNumberFormat="1" applyFont="1" applyFill="1" applyBorder="1" applyAlignment="1">
      <x:alignment vertical="center"/>
    </x:xf>
    <x:xf numFmtId="202" fontId="7" fillId="25" borderId="4" xfId="0" applyNumberFormat="1" applyFont="1" applyFill="1" applyBorder="1" applyAlignment="1">
      <x:alignment vertical="center"/>
    </x:xf>
    <x:xf numFmtId="0" fontId="7" fillId="22" borderId="4" xfId="0" applyNumberFormat="1" applyFont="1" applyFill="1" applyBorder="1" applyAlignment="1">
      <x:alignment vertical="center"/>
    </x:xf>
    <x:xf numFmtId="0" fontId="7" fillId="26" borderId="4" xfId="0" applyNumberFormat="1" applyFont="1" applyFill="1" applyBorder="1" applyAlignment="1">
      <x:alignment vertical="center"/>
    </x:xf>
    <x:xf numFmtId="202" fontId="7" fillId="22" borderId="4" xfId="0" applyNumberFormat="1" applyFont="1" applyFill="1" applyBorder="1" applyAlignment="1">
      <x:alignment vertical="center"/>
    </x:xf>
    <x:xf numFmtId="202" fontId="7" fillId="26" borderId="4" xfId="0" applyNumberFormat="1" applyFont="1" applyFill="1" applyBorder="1" applyAlignment="1">
      <x:alignment vertical="center"/>
    </x:xf>
    <x:xf numFmtId="204" fontId="6" fillId="23" borderId="3" xfId="0" applyNumberFormat="1" applyFont="1" applyFill="1" applyBorder="1"/>
    <x:xf numFmtId="204" fontId="6" fillId="23" borderId="3" xfId="0" applyNumberFormat="1" applyFont="1" applyFill="1" applyBorder="1" applyAlignment="1">
      <x:alignment wrapText="1"/>
    </x:xf>
    <x:xf numFmtId="204" fontId="6" fillId="23" borderId="3" xfId="0" applyNumberFormat="1" applyFont="1" applyFill="1" applyBorder="1" applyAlignment="1">
      <x:alignment horizontal="center" wrapText="1"/>
    </x:xf>
    <x:xf numFmtId="204" fontId="6" fillId="23" borderId="3" xfId="0" applyNumberFormat="1" applyFont="1" applyFill="1" applyBorder="1" applyAlignment="1">
      <x:alignment horizontal="center" vertical="center" wrapText="1"/>
    </x:xf>
    <x:xf numFmtId="0" fontId="11" fillId="22" borderId="0" xfId="0" applyNumberFormat="1" applyFont="1" applyFill="1" applyBorder="1"/>
    <x:xf numFmtId="0" fontId="12" fillId="22" borderId="0" xfId="0" applyNumberFormat="1" applyFont="1" applyFill="1" applyBorder="1" applyAlignment="1">
      <x:alignment horizontal="center" wrapText="1"/>
    </x:xf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horizontal="center"/>
    </x:xf>
    <x:xf numFmtId="0" fontId="1" fillId="23" borderId="0" xfId="0" applyNumberFormat="1" applyFont="1" applyFill="1" applyBorder="1" applyAlignment="1">
      <x:alignment horizontal="center" vertical="center"/>
    </x:xf>
    <x:xf numFmtId="205" fontId="7" fillId="24" borderId="4" xfId="0" applyNumberFormat="1" applyFont="1" applyFill="1" applyBorder="1" applyAlignment="1">
      <x:alignment vertical="center"/>
    </x:xf>
    <x:xf numFmtId="205" fontId="7" fillId="26" borderId="4" xfId="0" applyNumberFormat="1" applyFont="1" applyFill="1" applyBorder="1" applyAlignment="1">
      <x:alignment vertical="center"/>
    </x:xf>
    <x:xf numFmtId="0" fontId="12" fillId="2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c3df3d7c854c72" /><Relationship Type="http://schemas.openxmlformats.org/officeDocument/2006/relationships/theme" Target="/xl/theme/theme1.xml" Id="R7859d54fb65846ab" /><Relationship Type="http://schemas.openxmlformats.org/officeDocument/2006/relationships/sharedStrings" Target="/xl/sharedStrings.xml" Id="Rcde87eb0887b45ad" /><Relationship Type="http://schemas.openxmlformats.org/officeDocument/2006/relationships/worksheet" Target="/xl/worksheets/sheet1.xml" Id="Rbb9acb04a08b4d92" /><Relationship Type="http://schemas.openxmlformats.org/officeDocument/2006/relationships/worksheet" Target="/xl/worksheets/sheet2.xml" Id="Re42148d5a8eb4ee1" /><Relationship Type="http://schemas.openxmlformats.org/officeDocument/2006/relationships/worksheet" Target="/xl/worksheets/sheet3.xml" Id="R3b2abad82f7c470c" /><Relationship Type="http://schemas.openxmlformats.org/officeDocument/2006/relationships/worksheet" Target="/xl/worksheets/sheet4.xml" Id="R4f108eb0d9824b5c" /><Relationship Type="http://schemas.openxmlformats.org/officeDocument/2006/relationships/worksheet" Target="/xl/worksheets/sheet5.xml" Id="R1c92db6eade44153" /><Relationship Type="http://schemas.openxmlformats.org/officeDocument/2006/relationships/worksheet" Target="/xl/worksheets/sheet6.xml" Id="Refa1b8d245f24427" /><Relationship Type="http://schemas.openxmlformats.org/officeDocument/2006/relationships/worksheet" Target="/xl/worksheets/sheet7.xml" Id="Rc2a171b5124e41c0" /><Relationship Type="http://schemas.openxmlformats.org/officeDocument/2006/relationships/worksheet" Target="/xl/worksheets/sheet8.xml" Id="R9d7f80867a0e4195" /><Relationship Type="http://schemas.openxmlformats.org/officeDocument/2006/relationships/worksheet" Target="/xl/worksheets/sheet9.xml" Id="R7b6c082d2f044e09" /><Relationship Type="http://schemas.openxmlformats.org/officeDocument/2006/relationships/worksheet" Target="/xl/worksheets/sheet10.xml" Id="R163c45e1fbde4d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12" topLeftCell="D13" activePane="bottomRight" state="frozen"/>
    </x:sheetView>
  </x:sheetViews>
  <x:sheetFormatPr defaultRowHeight="15"/>
  <x:cols>
    <x:col min="1" max="1" width="9" hidden="0" customWidth="1"/>
    <x:col min="2" max="2" width="10" hidden="0" customWidth="1"/>
    <x:col min="3" max="3" width="10" hidden="0" customWidth="1"/>
    <x:col min="4" max="4" width="17" hidden="0" customWidth="1"/>
    <x:col min="5" max="5" width="17" hidden="0" customWidth="1"/>
    <x:col min="6" max="6" width="14" hidden="0" customWidth="1"/>
    <x:col min="7" max="7" width="14" hidden="0" customWidth="1"/>
    <x:col min="8" max="8" width="14" hidden="0" customWidth="1"/>
    <x:col min="9" max="9" width="17" hidden="0" customWidth="1"/>
    <x:col min="10" max="10" width="17" hidden="0" customWidth="1"/>
    <x:col min="11" max="11" width="17" hidden="0" customWidth="1"/>
    <x:col min="12" max="12" width="28" hidden="0" customWidth="1"/>
  </x:cols>
  <x:sheetData>
    <x:row r="1" ht="30" customHeight="1">
      <x:c r="A1" s="4" t="str">
        <x:v>COMPARAÇÃO REAL DE CAMPO — MTR-1522 — d = 0,20 m; hP = 30 mm</x:v>
      </x:c>
      <x:c r="B1" s="4" t="str">
        <x:v>COMPARAÇÃO REAL DE CAMPO — MTR-1522 — d = 0,20 m; hP = 30 mm</x:v>
      </x:c>
      <x:c r="C1" s="4" t="str">
        <x:v>COMPARAÇÃO REAL DE CAMPO — MTR-1522 — d = 0,20 m; hP = 30 mm</x:v>
      </x:c>
      <x:c r="D1" s="4" t="str">
        <x:v>COMPARAÇÃO REAL DE CAMPO — MTR-1522 — d = 0,20 m; hP = 30 mm</x:v>
      </x:c>
      <x:c r="E1" s="4" t="str">
        <x:v>COMPARAÇÃO REAL DE CAMPO — MTR-1522 — d = 0,20 m; hP = 30 mm</x:v>
      </x:c>
      <x:c r="F1" s="4" t="str">
        <x:v>COMPARAÇÃO REAL DE CAMPO — MTR-1522 — d = 0,20 m; hP = 30 mm</x:v>
      </x:c>
      <x:c r="G1" s="4" t="str">
        <x:v>COMPARAÇÃO REAL DE CAMPO — MTR-1522 — d = 0,20 m; hP = 30 mm</x:v>
      </x:c>
      <x:c r="H1" s="4" t="str">
        <x:v>COMPARAÇÃO REAL DE CAMPO — MTR-1522 — d = 0,20 m; hP = 30 mm</x:v>
      </x:c>
      <x:c r="I1" s="4" t="str">
        <x:v>COMPARAÇÃO REAL DE CAMPO — MTR-1522 — d = 0,20 m; hP = 30 mm</x:v>
      </x:c>
      <x:c r="J1" s="4" t="str">
        <x:v>COMPARAÇÃO REAL DE CAMPO — MTR-1522 — d = 0,20 m; hP = 30 mm</x:v>
      </x:c>
      <x:c r="K1" s="4" t="str">
        <x:v>COMPARAÇÃO REAL DE CAMPO — MTR-1522 — d = 0,20 m; hP = 30 mm</x:v>
      </x:c>
      <x:c r="L1" s="4" t="str">
        <x:v>COMPARAÇÃO REAL DE CAMPO — MTR-1522 — d = 0,20 m; hP = 30 mm</x:v>
      </x:c>
    </x:row>
    <x:row r="2" ht="30" customHeight="1">
      <x:c r="A2" s="9" t="str">
        <x:v>289 leituras reais informadas; aquisição em serpentina; uma leitura por ponto. Dados preservados sem suavização ou exclusão de valores.</x:v>
      </x:c>
      <x:c r="B2" s="9" t="str">
        <x:v>289 leituras reais informadas; aquisição em serpentina; uma leitura por ponto. Dados preservados sem suavização ou exclusão de valores.</x:v>
      </x:c>
      <x:c r="C2" s="9" t="str">
        <x:v>289 leituras reais informadas; aquisição em serpentina; uma leitura por ponto. Dados preservados sem suavização ou exclusão de valores.</x:v>
      </x:c>
      <x:c r="D2" s="9" t="str">
        <x:v>289 leituras reais informadas; aquisição em serpentina; uma leitura por ponto. Dados preservados sem suavização ou exclusão de valores.</x:v>
      </x:c>
      <x:c r="E2" s="9" t="str">
        <x:v>289 leituras reais informadas; aquisição em serpentina; uma leitura por ponto. Dados preservados sem suavização ou exclusão de valores.</x:v>
      </x:c>
      <x:c r="F2" s="9" t="str">
        <x:v>289 leituras reais informadas; aquisição em serpentina; uma leitura por ponto. Dados preservados sem suavização ou exclusão de valores.</x:v>
      </x:c>
      <x:c r="G2" s="9" t="str">
        <x:v>289 leituras reais informadas; aquisição em serpentina; uma leitura por ponto. Dados preservados sem suavização ou exclusão de valores.</x:v>
      </x:c>
      <x:c r="H2" s="9" t="str">
        <x:v>289 leituras reais informadas; aquisição em serpentina; uma leitura por ponto. Dados preservados sem suavização ou exclusão de valores.</x:v>
      </x:c>
      <x:c r="I2" s="9" t="str">
        <x:v>289 leituras reais informadas; aquisição em serpentina; uma leitura por ponto. Dados preservados sem suavização ou exclusão de valores.</x:v>
      </x:c>
      <x:c r="J2" s="9" t="str">
        <x:v>289 leituras reais informadas; aquisição em serpentina; uma leitura por ponto. Dados preservados sem suavização ou exclusão de valores.</x:v>
      </x:c>
      <x:c r="K2" s="9" t="str">
        <x:v>289 leituras reais informadas; aquisição em serpentina; uma leitura por ponto. Dados preservados sem suavização ou exclusão de valores.</x:v>
      </x:c>
      <x:c r="L2" s="9" t="str">
        <x:v>289 leituras reais informadas; aquisição em serpentina; uma leitura por ponto. Dados preservados sem suavização ou exclusão de valores.</x:v>
      </x:c>
    </x:row>
    <x:row r="4">
      <x:c r="A4" s="13" t="str">
        <x:v>PARÂMETRO</x:v>
      </x:c>
      <x:c r="B4" s="13" t="str">
        <x:v>VALOR</x:v>
      </x:c>
      <x:c r="C4" s="13" t="str">
        <x:v>UNIDADE</x:v>
      </x:c>
      <x:c r="D4" s="13" t="str">
        <x:v>OBSERVAÇÃO</x:v>
      </x:c>
      <x:c r="F4" s="66" t="str">
        <x:v>RESUMO — REAL × IDEAL</x:v>
      </x:c>
      <x:c r="G4" s="66"/>
      <x:c r="H4" s="66"/>
      <x:c r="I4" s="66"/>
      <x:c r="J4" s="66"/>
      <x:c r="K4" s="66"/>
      <x:c r="L4" s="66"/>
    </x:row>
    <x:row r="5">
      <x:c r="A5" s="16" t="str">
        <x:v>R_ref inicial</x:v>
      </x:c>
      <x:c r="B5" s="20" t="n">
        <x:v>44.1</x:v>
      </x:c>
      <x:c r="C5" s="16" t="str">
        <x:v>Ω</x:v>
      </x:c>
      <x:c r="D5" s="16" t="str">
        <x:v>Substitua pela média de 3 leituras atuais no ponto fixo</x:v>
      </x:c>
      <x:c r="F5" s="71" t="str">
        <x:v>Pontos válidos</x:v>
      </x:c>
      <x:c r="G5" s="72" t="n">
        <x:v>289</x:v>
      </x:c>
      <x:c r="H5" s="72" t="str"/>
      <x:c r="I5" s="78" t="str">
        <x:v>Faixa real: 8.4640 a 43.3961 Ω</x:v>
      </x:c>
      <x:c r="J5" s="78"/>
      <x:c r="K5" s="78"/>
      <x:c r="L5" s="78"/>
    </x:row>
    <x:row r="6">
      <x:c r="A6" s="16" t="str">
        <x:v>Distância E–C</x:v>
      </x:c>
      <x:c r="B6" s="21" t="n">
        <x:v>24</x:v>
      </x:c>
      <x:c r="C6" s="16" t="str">
        <x:v>m</x:v>
      </x:c>
      <x:c r="D6" s="16" t="str">
        <x:v>Distância total entre haste em teste e eletrodo remoto</x:v>
      </x:c>
      <x:c r="F6" s="71" t="str">
        <x:v>MAPE</x:v>
      </x:c>
      <x:c r="G6" s="73" t="n">
        <x:v>0.05340014608766309</x:v>
      </x:c>
      <x:c r="H6" s="72" t="str"/>
      <x:c r="I6" s="78" t="str">
        <x:v>Faixa ideal: 8.9214 a 38.4153 Ω</x:v>
      </x:c>
      <x:c r="J6" s="78"/>
      <x:c r="K6" s="78"/>
      <x:c r="L6" s="78"/>
    </x:row>
    <x:row r="7">
      <x:c r="A7" s="16" t="str">
        <x:v>Posição de P_ref</x:v>
      </x:c>
      <x:c r="B7" s="22" t="n">
        <x:v>0.62</x:v>
      </x:c>
      <x:c r="C7" s="16" t="str">
        <x:v>% de E–C</x:v>
      </x:c>
      <x:c r="D7" s="16" t="str">
        <x:v>62% = 14.88 m a partir de E</x:v>
      </x:c>
      <x:c r="F7" s="71" t="str">
        <x:v>MAE</x:v>
      </x:c>
      <x:c r="G7" s="72" t="n">
        <x:v>1.6858041461903521</x:v>
      </x:c>
      <x:c r="H7" s="72" t="str">
        <x:v>Ω</x:v>
      </x:c>
      <x:c r="I7" s="78" t="str">
        <x:v>Centro real: 8.4640 Ω</x:v>
      </x:c>
      <x:c r="J7" s="78"/>
      <x:c r="K7" s="78"/>
      <x:c r="L7" s="78"/>
    </x:row>
    <x:row r="8">
      <x:c r="A8" s="16" t="str">
        <x:v>Profundidade do eixo da haste</x:v>
      </x:c>
      <x:c r="B8" s="21" t="n">
        <x:v>0.2</x:v>
      </x:c>
      <x:c r="C8" s="16" t="str">
        <x:v>m</x:v>
      </x:c>
      <x:c r="D8" s="16" t="str">
        <x:v>Haste horizontal de 2,40 m × 12 mm</x:v>
      </x:c>
      <x:c r="F8" s="71" t="str">
        <x:v>RMSE</x:v>
      </x:c>
      <x:c r="G8" s="72" t="n">
        <x:v>2.1333250317426247</x:v>
      </x:c>
      <x:c r="H8" s="72" t="str">
        <x:v>Ω</x:v>
      </x:c>
      <x:c r="I8" s="78" t="str">
        <x:v>Centro ideal: 8.9214 Ω</x:v>
      </x:c>
      <x:c r="J8" s="78"/>
      <x:c r="K8" s="78"/>
      <x:c r="L8" s="78"/>
    </x:row>
    <x:row r="9">
      <x:c r="A9" s="16" t="str">
        <x:v>Inserção do probe móvel</x:v>
      </x:c>
      <x:c r="B9" s="21" t="n">
        <x:v>0.03</x:v>
      </x:c>
      <x:c r="C9" s="16" t="str">
        <x:v>m</x:v>
      </x:c>
      <x:c r="D9" s="16" t="str">
        <x:v>Usar batente fixo de 30 mm em todos os pontos</x:v>
      </x:c>
      <x:c r="F9" s="71" t="str">
        <x:v>Viés médio</x:v>
      </x:c>
      <x:c r="G9" s="72" t="n">
        <x:v>0.3797071169274207</x:v>
      </x:c>
      <x:c r="H9" s="72" t="str">
        <x:v>Ω</x:v>
      </x:c>
      <x:c r="I9" s="78" t="str">
        <x:v>Resultado preliminar: boa preservação do padrão espacial.</x:v>
      </x:c>
      <x:c r="J9" s="78"/>
      <x:c r="K9" s="78"/>
      <x:c r="L9" s="78"/>
    </x:row>
    <x:row r="10">
      <x:c r="A10" s="16" t="str">
        <x:v>Resistividade adotada</x:v>
      </x:c>
      <x:c r="B10" s="21" t="n">
        <x:v>100</x:v>
      </x:c>
      <x:c r="C10" s="16" t="str">
        <x:v>Ω·m</x:v>
      </x:c>
      <x:c r="D10" s="16" t="str">
        <x:v>Valor nominal para a referência analítica</x:v>
      </x:c>
      <x:c r="F10" s="71" t="str">
        <x:v>Correlação / R²</x:v>
      </x:c>
      <x:c r="G10" s="72" t="n">
        <x:v>0.9505679205910763</x:v>
      </x:c>
      <x:c r="H10" s="72" t="n">
        <x:v>0.885672558327613</x:v>
      </x:c>
      <x:c r="I10" s="78" t="str">
        <x:v>Limitação: somente uma leitura por ponto; repetibilidade ainda não estimada.</x:v>
      </x:c>
      <x:c r="J10" s="78"/>
      <x:c r="K10" s="78"/>
      <x:c r="L10" s="78"/>
    </x:row>
    <x:row r="12" ht="34" customHeight="1">
      <x:c r="A12" s="80" t="str">
        <x:v>Ponto</x:v>
      </x:c>
      <x:c r="B12" s="80" t="str">
        <x:v>x (m)</x:v>
      </x:c>
      <x:c r="C12" s="80" t="str">
        <x:v>y (m)</x:v>
      </x:c>
      <x:c r="D12" s="80" t="str">
        <x:v>Z_ideal (Ω)</x:v>
      </x:c>
      <x:c r="E12" s="80" t="str">
        <x:v>R_MTR esperada (Ω)</x:v>
      </x:c>
      <x:c r="F12" s="80" t="str">
        <x:v>Leitura 1 (Ω)</x:v>
      </x:c>
      <x:c r="G12" s="80" t="str">
        <x:v>Leitura 2 (Ω)</x:v>
      </x:c>
      <x:c r="H12" s="80" t="str">
        <x:v>Leitura 3 (Ω)</x:v>
      </x:c>
      <x:c r="I12" s="80" t="str">
        <x:v>Média medida (Ω)</x:v>
      </x:c>
      <x:c r="J12" s="80" t="str">
        <x:v>Diferença (Ω)</x:v>
      </x:c>
      <x:c r="K12" s="80" t="str">
        <x:v>Diferença (%)</x:v>
      </x:c>
      <x:c r="L12" s="80" t="str">
        <x:v>Observações</x:v>
      </x:c>
    </x:row>
    <x:row r="13">
      <x:c r="A13" s="40" t="n">
        <x:v>1</x:v>
      </x:c>
      <x:c r="B13" s="41" t="n">
        <x:v>-0.8</x:v>
      </x:c>
      <x:c r="C13" s="41" t="n">
        <x:v>-2</x:v>
      </x:c>
      <x:c r="D13" s="42" t="n">
        <x:v>5.684695764737086</x:v>
      </x:c>
      <x:c r="E13" s="42" t="n">
        <x:f>$B$5-D13</x:f>
        <x:v>38.415304235262916</x:v>
      </x:c>
      <x:c r="F13" s="79" t="n">
        <x:v>36.8171</x:v>
      </x:c>
      <x:c r="G13" s="43"/>
      <x:c r="H13" s="43"/>
      <x:c r="I13" s="44" t="n">
        <x:f>IF(COUNT(F13:H13)=0,"",AVERAGE(F13:H13))</x:f>
        <x:v>36.8171</x:v>
      </x:c>
      <x:c r="J13" s="44" t="n">
        <x:f>IF(I13="","",I13-E13)</x:f>
        <x:v>-1.5982042352629122</x:v>
      </x:c>
      <x:c r="K13" s="45" t="n">
        <x:f>IF(I13="","",J13/E13)</x:f>
        <x:v>-0.04160332104817376</x:v>
      </x:c>
      <x:c r="L13" s="36" t="str">
        <x:v>Leitura real — sequência serpentina</x:v>
      </x:c>
    </x:row>
    <x:row r="14">
      <x:c r="A14" s="40" t="n">
        <x:v>2</x:v>
      </x:c>
      <x:c r="B14" s="41" t="n">
        <x:v>-0.55</x:v>
      </x:c>
      <x:c r="C14" s="41" t="n">
        <x:v>-2</x:v>
      </x:c>
      <x:c r="D14" s="42" t="n">
        <x:v>6.015683158796765</x:v>
      </x:c>
      <x:c r="E14" s="42" t="n">
        <x:f>$B$5-D14</x:f>
        <x:v>38.08431684120323</x:v>
      </x:c>
      <x:c r="F14" s="79" t="n">
        <x:v>38.9727</x:v>
      </x:c>
      <x:c r="G14" s="43"/>
      <x:c r="H14" s="43"/>
      <x:c r="I14" s="44" t="n">
        <x:f>IF(COUNT(F14:H14)=0,"",AVERAGE(F14:H14))</x:f>
        <x:v>38.9727</x:v>
      </x:c>
      <x:c r="J14" s="44" t="n">
        <x:f>IF(I14="","",I14-E14)</x:f>
        <x:v>0.8883831587967705</x:v>
      </x:c>
      <x:c r="K14" s="45" t="n">
        <x:f>IF(I14="","",J14/E14)</x:f>
        <x:v>0.023326745297834336</x:v>
      </x:c>
      <x:c r="L14" s="36" t="str">
        <x:v>Leitura real — sequência serpentina</x:v>
      </x:c>
    </x:row>
    <x:row r="15">
      <x:c r="A15" s="40" t="n">
        <x:v>3</x:v>
      </x:c>
      <x:c r="B15" s="41" t="n">
        <x:v>-0.30000000000000004</x:v>
      </x:c>
      <x:c r="C15" s="41" t="n">
        <x:v>-2</x:v>
      </x:c>
      <x:c r="D15" s="42" t="n">
        <x:v>6.34478984849243</x:v>
      </x:c>
      <x:c r="E15" s="42" t="n">
        <x:f>$B$5-D15</x:f>
        <x:v>37.75521015150757</x:v>
      </x:c>
      <x:c r="F15" s="79" t="n">
        <x:v>33.6549</x:v>
      </x:c>
      <x:c r="G15" s="43"/>
      <x:c r="H15" s="43"/>
      <x:c r="I15" s="44" t="n">
        <x:f>IF(COUNT(F15:H15)=0,"",AVERAGE(F15:H15))</x:f>
        <x:v>33.6549</x:v>
      </x:c>
      <x:c r="J15" s="44" t="n">
        <x:f>IF(I15="","",I15-E15)</x:f>
        <x:v>-4.100310151507571</x:v>
      </x:c>
      <x:c r="K15" s="45" t="n">
        <x:f>IF(I15="","",J15/E15)</x:f>
        <x:v>-0.10860249843805585</x:v>
      </x:c>
      <x:c r="L15" s="36" t="str">
        <x:v>Leitura real — sequência serpentina</x:v>
      </x:c>
    </x:row>
    <x:row r="16">
      <x:c r="A16" s="40" t="n">
        <x:v>4</x:v>
      </x:c>
      <x:c r="B16" s="41" t="n">
        <x:v>-0.050000000000000044</x:v>
      </x:c>
      <x:c r="C16" s="41" t="n">
        <x:v>-2</x:v>
      </x:c>
      <x:c r="D16" s="42" t="n">
        <x:v>6.659214504861656</x:v>
      </x:c>
      <x:c r="E16" s="42" t="n">
        <x:f>$B$5-D16</x:f>
        <x:v>37.44078549513834</x:v>
      </x:c>
      <x:c r="F16" s="79" t="n">
        <x:v>41.0553</x:v>
      </x:c>
      <x:c r="G16" s="43"/>
      <x:c r="H16" s="43"/>
      <x:c r="I16" s="44" t="n">
        <x:f>IF(COUNT(F16:H16)=0,"",AVERAGE(F16:H16))</x:f>
        <x:v>41.0553</x:v>
      </x:c>
      <x:c r="J16" s="44" t="n">
        <x:f>IF(I16="","",I16-E16)</x:f>
        <x:v>3.61451450486166</x:v>
      </x:c>
      <x:c r="K16" s="45" t="n">
        <x:f>IF(I16="","",J16/E16)</x:f>
        <x:v>0.0965394944860599</x:v>
      </x:c>
      <x:c r="L16" s="36" t="str">
        <x:v>Leitura real — sequência serpentina</x:v>
      </x:c>
    </x:row>
    <x:row r="17">
      <x:c r="A17" s="40" t="n">
        <x:v>5</x:v>
      </x:c>
      <x:c r="B17" s="41" t="n">
        <x:v>0.19999999999999996</x:v>
      </x:c>
      <x:c r="C17" s="41" t="n">
        <x:v>-2</x:v>
      </x:c>
      <x:c r="D17" s="42" t="n">
        <x:v>6.944210204040935</x:v>
      </x:c>
      <x:c r="E17" s="42" t="n">
        <x:f>$B$5-D17</x:f>
        <x:v>37.155789795959066</x:v>
      </x:c>
      <x:c r="F17" s="79" t="n">
        <x:v>39.0225</x:v>
      </x:c>
      <x:c r="G17" s="43"/>
      <x:c r="H17" s="43"/>
      <x:c r="I17" s="44" t="n">
        <x:f>IF(COUNT(F17:H17)=0,"",AVERAGE(F17:H17))</x:f>
        <x:v>39.0225</x:v>
      </x:c>
      <x:c r="J17" s="44" t="n">
        <x:f>IF(I17="","",I17-E17)</x:f>
        <x:v>1.8667102040409347</x:v>
      </x:c>
      <x:c r="K17" s="45" t="n">
        <x:f>IF(I17="","",J17/E17)</x:f>
        <x:v>0.050240089479781466</x:v>
      </x:c>
      <x:c r="L17" s="36" t="str">
        <x:v>Leitura real — sequência serpentina</x:v>
      </x:c>
    </x:row>
    <x:row r="18">
      <x:c r="A18" s="40" t="n">
        <x:v>6</x:v>
      </x:c>
      <x:c r="B18" s="41" t="n">
        <x:v>0.44999999999999996</x:v>
      </x:c>
      <x:c r="C18" s="41" t="n">
        <x:v>-2</x:v>
      </x:c>
      <x:c r="D18" s="42" t="n">
        <x:v>7.184713309320289</x:v>
      </x:c>
      <x:c r="E18" s="42" t="n">
        <x:f>$B$5-D18</x:f>
        <x:v>36.915286690679714</x:v>
      </x:c>
      <x:c r="F18" s="79" t="n">
        <x:v>36.664</x:v>
      </x:c>
      <x:c r="G18" s="43"/>
      <x:c r="H18" s="43"/>
      <x:c r="I18" s="44" t="n">
        <x:f>IF(COUNT(F18:H18)=0,"",AVERAGE(F18:H18))</x:f>
        <x:v>36.664</x:v>
      </x:c>
      <x:c r="J18" s="44" t="n">
        <x:f>IF(I18="","",I18-E18)</x:f>
        <x:v>-0.2512866906797129</x:v>
      </x:c>
      <x:c r="K18" s="45" t="n">
        <x:f>IF(I18="","",J18/E18)</x:f>
        <x:v>-0.006807117408711799</x:v>
      </x:c>
      <x:c r="L18" s="36" t="str">
        <x:v>Leitura real — sequência serpentina</x:v>
      </x:c>
    </x:row>
    <x:row r="19">
      <x:c r="A19" s="40" t="n">
        <x:v>7</x:v>
      </x:c>
      <x:c r="B19" s="41" t="n">
        <x:v>0.7</x:v>
      </x:c>
      <x:c r="C19" s="41" t="n">
        <x:v>-2</x:v>
      </x:c>
      <x:c r="D19" s="42" t="n">
        <x:v>7.367169654191191</x:v>
      </x:c>
      <x:c r="E19" s="42" t="n">
        <x:f>$B$5-D19</x:f>
        <x:v>36.73283034580881</x:v>
      </x:c>
      <x:c r="F19" s="79" t="n">
        <x:v>36.4632</x:v>
      </x:c>
      <x:c r="G19" s="43"/>
      <x:c r="H19" s="43"/>
      <x:c r="I19" s="44" t="n">
        <x:f>IF(COUNT(F19:H19)=0,"",AVERAGE(F19:H19))</x:f>
        <x:v>36.4632</x:v>
      </x:c>
      <x:c r="J19" s="44" t="n">
        <x:f>IF(I19="","",I19-E19)</x:f>
        <x:v>-0.26963034580880674</x:v>
      </x:c>
      <x:c r="K19" s="45" t="n">
        <x:f>IF(I19="","",J19/E19)</x:f>
        <x:v>-0.007340309561513857</x:v>
      </x:c>
      <x:c r="L19" s="36" t="str">
        <x:v>Leitura real — sequência serpentina</x:v>
      </x:c>
    </x:row>
    <x:row r="20">
      <x:c r="A20" s="40" t="n">
        <x:v>8</x:v>
      </x:c>
      <x:c r="B20" s="41" t="n">
        <x:v>0.95</x:v>
      </x:c>
      <x:c r="C20" s="41" t="n">
        <x:v>-2</x:v>
      </x:c>
      <x:c r="D20" s="42" t="n">
        <x:v>7.481043422764056</x:v>
      </x:c>
      <x:c r="E20" s="42" t="n">
        <x:f>$B$5-D20</x:f>
        <x:v>36.61895657723595</x:v>
      </x:c>
      <x:c r="F20" s="79" t="n">
        <x:v>37.7753</x:v>
      </x:c>
      <x:c r="G20" s="43"/>
      <x:c r="H20" s="43"/>
      <x:c r="I20" s="44" t="n">
        <x:f>IF(COUNT(F20:H20)=0,"",AVERAGE(F20:H20))</x:f>
        <x:v>37.7753</x:v>
      </x:c>
      <x:c r="J20" s="44" t="n">
        <x:f>IF(I20="","",I20-E20)</x:f>
        <x:v>1.1563434227640528</x:v>
      </x:c>
      <x:c r="K20" s="45" t="n">
        <x:f>IF(I20="","",J20/E20)</x:f>
        <x:v>0.03157772724422437</x:v>
      </x:c>
      <x:c r="L20" s="36" t="str">
        <x:v>Leitura real — sequência serpentina</x:v>
      </x:c>
    </x:row>
    <x:row r="21">
      <x:c r="A21" s="40" t="n">
        <x:v>9</x:v>
      </x:c>
      <x:c r="B21" s="41" t="n">
        <x:v>1.2</x:v>
      </x:c>
      <x:c r="C21" s="41" t="n">
        <x:v>-2</x:v>
      </x:c>
      <x:c r="D21" s="42" t="n">
        <x:v>7.519744993041772</x:v>
      </x:c>
      <x:c r="E21" s="42" t="n">
        <x:f>$B$5-D21</x:f>
        <x:v>36.58025500695823</x:v>
      </x:c>
      <x:c r="F21" s="79" t="n">
        <x:v>36.4616</x:v>
      </x:c>
      <x:c r="G21" s="43"/>
      <x:c r="H21" s="43"/>
      <x:c r="I21" s="44" t="n">
        <x:f>IF(COUNT(F21:H21)=0,"",AVERAGE(F21:H21))</x:f>
        <x:v>36.4616</x:v>
      </x:c>
      <x:c r="J21" s="44" t="n">
        <x:f>IF(I21="","",I21-E21)</x:f>
        <x:v>-0.11865500695823528</x:v>
      </x:c>
      <x:c r="K21" s="45" t="n">
        <x:f>IF(I21="","",J21/E21)</x:f>
        <x:v>-0.0032436899889206603</x:v>
      </x:c>
      <x:c r="L21" s="36" t="str">
        <x:v>Leitura real — sequência serpentina</x:v>
      </x:c>
    </x:row>
    <x:row r="22">
      <x:c r="A22" s="40" t="n">
        <x:v>10</x:v>
      </x:c>
      <x:c r="B22" s="41" t="n">
        <x:v>1.45</x:v>
      </x:c>
      <x:c r="C22" s="41" t="n">
        <x:v>-2</x:v>
      </x:c>
      <x:c r="D22" s="42" t="n">
        <x:v>7.481043422764056</x:v>
      </x:c>
      <x:c r="E22" s="42" t="n">
        <x:f>$B$5-D22</x:f>
        <x:v>36.61895657723595</x:v>
      </x:c>
      <x:c r="F22" s="79" t="n">
        <x:v>36.6184</x:v>
      </x:c>
      <x:c r="G22" s="43"/>
      <x:c r="H22" s="43"/>
      <x:c r="I22" s="44" t="n">
        <x:f>IF(COUNT(F22:H22)=0,"",AVERAGE(F22:H22))</x:f>
        <x:v>36.6184</x:v>
      </x:c>
      <x:c r="J22" s="44" t="n">
        <x:f>IF(I22="","",I22-E22)</x:f>
        <x:v>-0.0005565772359474863</x:v>
      </x:c>
      <x:c r="K22" s="45" t="n">
        <x:f>IF(I22="","",J22/E22)</x:f>
        <x:v>-0.000015199156064798435</x:v>
      </x:c>
      <x:c r="L22" s="36" t="str">
        <x:v>Leitura real — sequência serpentina</x:v>
      </x:c>
    </x:row>
    <x:row r="23">
      <x:c r="A23" s="40" t="n">
        <x:v>11</x:v>
      </x:c>
      <x:c r="B23" s="41" t="n">
        <x:v>1.7</x:v>
      </x:c>
      <x:c r="C23" s="41" t="n">
        <x:v>-2</x:v>
      </x:c>
      <x:c r="D23" s="42" t="n">
        <x:v>7.367169654191191</x:v>
      </x:c>
      <x:c r="E23" s="42" t="n">
        <x:f>$B$5-D23</x:f>
        <x:v>36.73283034580881</x:v>
      </x:c>
      <x:c r="F23" s="79" t="n">
        <x:v>38.9121</x:v>
      </x:c>
      <x:c r="G23" s="43"/>
      <x:c r="H23" s="43"/>
      <x:c r="I23" s="44" t="n">
        <x:f>IF(COUNT(F23:H23)=0,"",AVERAGE(F23:H23))</x:f>
        <x:v>38.9121</x:v>
      </x:c>
      <x:c r="J23" s="44" t="n">
        <x:f>IF(I23="","",I23-E23)</x:f>
        <x:v>2.179269654191195</x:v>
      </x:c>
      <x:c r="K23" s="45" t="n">
        <x:f>IF(I23="","",J23/E23)</x:f>
        <x:v>0.05932757246515442</x:v>
      </x:c>
      <x:c r="L23" s="36" t="str">
        <x:v>Leitura real — sequência serpentina</x:v>
      </x:c>
    </x:row>
    <x:row r="24">
      <x:c r="A24" s="40" t="n">
        <x:v>12</x:v>
      </x:c>
      <x:c r="B24" s="41" t="n">
        <x:v>1.95</x:v>
      </x:c>
      <x:c r="C24" s="41" t="n">
        <x:v>-2</x:v>
      </x:c>
      <x:c r="D24" s="42" t="n">
        <x:v>7.184713309320289</x:v>
      </x:c>
      <x:c r="E24" s="42" t="n">
        <x:f>$B$5-D24</x:f>
        <x:v>36.915286690679714</x:v>
      </x:c>
      <x:c r="F24" s="79" t="n">
        <x:v>38.6561</x:v>
      </x:c>
      <x:c r="G24" s="43"/>
      <x:c r="H24" s="43"/>
      <x:c r="I24" s="44" t="n">
        <x:f>IF(COUNT(F24:H24)=0,"",AVERAGE(F24:H24))</x:f>
        <x:v>38.6561</x:v>
      </x:c>
      <x:c r="J24" s="44" t="n">
        <x:f>IF(I24="","",I24-E24)</x:f>
        <x:v>1.7408133093202878</x:v>
      </x:c>
      <x:c r="K24" s="45" t="n">
        <x:f>IF(I24="","",J24/E24)</x:f>
        <x:v>0.047156976563852725</x:v>
      </x:c>
      <x:c r="L24" s="36" t="str">
        <x:v>Leitura real — sequência serpentina</x:v>
      </x:c>
    </x:row>
    <x:row r="25">
      <x:c r="A25" s="40" t="n">
        <x:v>13</x:v>
      </x:c>
      <x:c r="B25" s="41" t="n">
        <x:v>2.2</x:v>
      </x:c>
      <x:c r="C25" s="41" t="n">
        <x:v>-2</x:v>
      </x:c>
      <x:c r="D25" s="42" t="n">
        <x:v>6.944210204040934</x:v>
      </x:c>
      <x:c r="E25" s="42" t="n">
        <x:f>$B$5-D25</x:f>
        <x:v>37.155789795959066</x:v>
      </x:c>
      <x:c r="F25" s="79" t="n">
        <x:v>37.5929</x:v>
      </x:c>
      <x:c r="G25" s="43"/>
      <x:c r="H25" s="43"/>
      <x:c r="I25" s="44" t="n">
        <x:f>IF(COUNT(F25:H25)=0,"",AVERAGE(F25:H25))</x:f>
        <x:v>37.5929</x:v>
      </x:c>
      <x:c r="J25" s="44" t="n">
        <x:f>IF(I25="","",I25-E25)</x:f>
        <x:v>0.43711020404093404</x:v>
      </x:c>
      <x:c r="K25" s="45" t="n">
        <x:f>IF(I25="","",J25/E25)</x:f>
        <x:v>0.01176425548861493</x:v>
      </x:c>
      <x:c r="L25" s="36" t="str">
        <x:v>Leitura real — sequência serpentina</x:v>
      </x:c>
    </x:row>
    <x:row r="26">
      <x:c r="A26" s="40" t="n">
        <x:v>14</x:v>
      </x:c>
      <x:c r="B26" s="41" t="n">
        <x:v>2.45</x:v>
      </x:c>
      <x:c r="C26" s="41" t="n">
        <x:v>-2</x:v>
      </x:c>
      <x:c r="D26" s="42" t="n">
        <x:v>6.659214504861654</x:v>
      </x:c>
      <x:c r="E26" s="42" t="n">
        <x:f>$B$5-D26</x:f>
        <x:v>37.44078549513835</x:v>
      </x:c>
      <x:c r="F26" s="79" t="n">
        <x:v>37.8509</x:v>
      </x:c>
      <x:c r="G26" s="43"/>
      <x:c r="H26" s="43"/>
      <x:c r="I26" s="44" t="n">
        <x:f>IF(COUNT(F26:H26)=0,"",AVERAGE(F26:H26))</x:f>
        <x:v>37.8509</x:v>
      </x:c>
      <x:c r="J26" s="44" t="n">
        <x:f>IF(I26="","",I26-E26)</x:f>
        <x:v>0.410114504861653</x:v>
      </x:c>
      <x:c r="K26" s="45" t="n">
        <x:f>IF(I26="","",J26/E26)</x:f>
        <x:v>0.010953683247775504</x:v>
      </x:c>
      <x:c r="L26" s="36" t="str">
        <x:v>Leitura real — sequência serpentina</x:v>
      </x:c>
    </x:row>
    <x:row r="27">
      <x:c r="A27" s="40" t="n">
        <x:v>15</x:v>
      </x:c>
      <x:c r="B27" s="41" t="n">
        <x:v>2.7</x:v>
      </x:c>
      <x:c r="C27" s="41" t="n">
        <x:v>-2</x:v>
      </x:c>
      <x:c r="D27" s="42" t="n">
        <x:v>6.34478984849243</x:v>
      </x:c>
      <x:c r="E27" s="42" t="n">
        <x:f>$B$5-D27</x:f>
        <x:v>37.75521015150757</x:v>
      </x:c>
      <x:c r="F27" s="79" t="n">
        <x:v>38.7643</x:v>
      </x:c>
      <x:c r="G27" s="43"/>
      <x:c r="H27" s="43"/>
      <x:c r="I27" s="44" t="n">
        <x:f>IF(COUNT(F27:H27)=0,"",AVERAGE(F27:H27))</x:f>
        <x:v>38.7643</x:v>
      </x:c>
      <x:c r="J27" s="44" t="n">
        <x:f>IF(I27="","",I27-E27)</x:f>
        <x:v>1.0090898484924296</x:v>
      </x:c>
      <x:c r="K27" s="45" t="n">
        <x:f>IF(I27="","",J27/E27)</x:f>
        <x:v>0.026727168103238236</x:v>
      </x:c>
      <x:c r="L27" s="36" t="str">
        <x:v>Leitura real — sequência serpentina</x:v>
      </x:c>
    </x:row>
    <x:row r="28">
      <x:c r="A28" s="40" t="n">
        <x:v>16</x:v>
      </x:c>
      <x:c r="B28" s="41" t="n">
        <x:v>2.95</x:v>
      </x:c>
      <x:c r="C28" s="41" t="n">
        <x:v>-2</x:v>
      </x:c>
      <x:c r="D28" s="42" t="n">
        <x:v>6.015683158796764</x:v>
      </x:c>
      <x:c r="E28" s="42" t="n">
        <x:f>$B$5-D28</x:f>
        <x:v>38.08431684120324</x:v>
      </x:c>
      <x:c r="F28" s="79" t="n">
        <x:v>37.2864</x:v>
      </x:c>
      <x:c r="G28" s="43"/>
      <x:c r="H28" s="43"/>
      <x:c r="I28" s="44" t="n">
        <x:f>IF(COUNT(F28:H28)=0,"",AVERAGE(F28:H28))</x:f>
        <x:v>37.2864</x:v>
      </x:c>
      <x:c r="J28" s="44" t="n">
        <x:f>IF(I28="","",I28-E28)</x:f>
        <x:v>-0.7979168412032394</x:v>
      </x:c>
      <x:c r="K28" s="45" t="n">
        <x:f>IF(I28="","",J28/E28)</x:f>
        <x:v>-0.020951323468141537</x:v>
      </x:c>
      <x:c r="L28" s="36" t="str">
        <x:v>Leitura real — sequência serpentina</x:v>
      </x:c>
    </x:row>
    <x:row r="29">
      <x:c r="A29" s="40" t="n">
        <x:v>17</x:v>
      </x:c>
      <x:c r="B29" s="41" t="n">
        <x:v>3.2</x:v>
      </x:c>
      <x:c r="C29" s="41" t="n">
        <x:v>-2</x:v>
      </x:c>
      <x:c r="D29" s="42" t="n">
        <x:v>5.684695764737084</x:v>
      </x:c>
      <x:c r="E29" s="42" t="n">
        <x:f>$B$5-D29</x:f>
        <x:v>38.415304235262916</x:v>
      </x:c>
      <x:c r="F29" s="79" t="n">
        <x:v>38.1272</x:v>
      </x:c>
      <x:c r="G29" s="43"/>
      <x:c r="H29" s="43"/>
      <x:c r="I29" s="44" t="n">
        <x:f>IF(COUNT(F29:H29)=0,"",AVERAGE(F29:H29))</x:f>
        <x:v>38.1272</x:v>
      </x:c>
      <x:c r="J29" s="44" t="n">
        <x:f>IF(I29="","",I29-E29)</x:f>
        <x:v>-0.28810423526291373</x:v>
      </x:c>
      <x:c r="K29" s="45" t="n">
        <x:f>IF(I29="","",J29/E29)</x:f>
        <x:v>-0.0074997254609388605</x:v>
      </x:c>
      <x:c r="L29" s="36" t="str">
        <x:v>Leitura real — sequência serpentina</x:v>
      </x:c>
    </x:row>
    <x:row r="30">
      <x:c r="A30" s="40" t="n">
        <x:v>18</x:v>
      </x:c>
      <x:c r="B30" s="41" t="n">
        <x:v>-0.8</x:v>
      </x:c>
      <x:c r="C30" s="41" t="n">
        <x:v>-1.75</x:v>
      </x:c>
      <x:c r="D30" s="42" t="n">
        <x:v>6.097680864275736</x:v>
      </x:c>
      <x:c r="E30" s="42" t="n">
        <x:f>$B$5-D30</x:f>
        <x:v>38.002319135724264</x:v>
      </x:c>
      <x:c r="F30" s="79" t="n">
        <x:v>41.3393</x:v>
      </x:c>
      <x:c r="G30" s="43"/>
      <x:c r="H30" s="43"/>
      <x:c r="I30" s="44" t="n">
        <x:f>IF(COUNT(F30:H30)=0,"",AVERAGE(F30:H30))</x:f>
        <x:v>41.3393</x:v>
      </x:c>
      <x:c r="J30" s="44" t="n">
        <x:f>IF(I30="","",I30-E30)</x:f>
        <x:v>3.3369808642757377</x:v>
      </x:c>
      <x:c r="K30" s="45" t="n">
        <x:f>IF(I30="","",J30/E30)</x:f>
        <x:v>0.08780992687203641</x:v>
      </x:c>
      <x:c r="L30" s="36" t="str">
        <x:v>Leitura real — sequência serpentina</x:v>
      </x:c>
    </x:row>
    <x:row r="31">
      <x:c r="A31" s="40" t="n">
        <x:v>19</x:v>
      </x:c>
      <x:c r="B31" s="41" t="n">
        <x:v>-0.55</x:v>
      </x:c>
      <x:c r="C31" s="41" t="n">
        <x:v>-1.75</x:v>
      </x:c>
      <x:c r="D31" s="42" t="n">
        <x:v>6.509397600653111</x:v>
      </x:c>
      <x:c r="E31" s="42" t="n">
        <x:f>$B$5-D31</x:f>
        <x:v>37.59060239934689</x:v>
      </x:c>
      <x:c r="F31" s="79" t="n">
        <x:v>40.1973</x:v>
      </x:c>
      <x:c r="G31" s="43"/>
      <x:c r="H31" s="43"/>
      <x:c r="I31" s="44" t="n">
        <x:f>IF(COUNT(F31:H31)=0,"",AVERAGE(F31:H31))</x:f>
        <x:v>40.1973</x:v>
      </x:c>
      <x:c r="J31" s="44" t="n">
        <x:f>IF(I31="","",I31-E31)</x:f>
        <x:v>2.6066976006531064</x:v>
      </x:c>
      <x:c r="K31" s="45" t="n">
        <x:f>IF(I31="","",J31/E31)</x:f>
        <x:v>0.06934439552100383</x:v>
      </x:c>
      <x:c r="L31" s="36" t="str">
        <x:v>Leitura real — sequência serpentina</x:v>
      </x:c>
    </x:row>
    <x:row r="32">
      <x:c r="A32" s="40" t="n">
        <x:v>20</x:v>
      </x:c>
      <x:c r="B32" s="41" t="n">
        <x:v>-0.30000000000000004</x:v>
      </x:c>
      <x:c r="C32" s="41" t="n">
        <x:v>-1.75</x:v>
      </x:c>
      <x:c r="D32" s="42" t="n">
        <x:v>6.9269343488945925</x:v>
      </x:c>
      <x:c r="E32" s="42" t="n">
        <x:f>$B$5-D32</x:f>
        <x:v>37.17306565110541</x:v>
      </x:c>
      <x:c r="F32" s="79" t="n">
        <x:v>40.9585</x:v>
      </x:c>
      <x:c r="G32" s="43"/>
      <x:c r="H32" s="43"/>
      <x:c r="I32" s="44" t="n">
        <x:f>IF(COUNT(F32:H32)=0,"",AVERAGE(F32:H32))</x:f>
        <x:v>40.9585</x:v>
      </x:c>
      <x:c r="J32" s="44" t="n">
        <x:f>IF(I32="","",I32-E32)</x:f>
        <x:v>3.78543434889459</x:v>
      </x:c>
      <x:c r="K32" s="45" t="n">
        <x:f>IF(I32="","",J32/E32)</x:f>
        <x:v>0.10183271900207196</x:v>
      </x:c>
      <x:c r="L32" s="36" t="str">
        <x:v>Leitura real — sequência serpentina</x:v>
      </x:c>
    </x:row>
    <x:row r="33">
      <x:c r="A33" s="40" t="n">
        <x:v>21</x:v>
      </x:c>
      <x:c r="B33" s="41" t="n">
        <x:v>-0.050000000000000044</x:v>
      </x:c>
      <x:c r="C33" s="41" t="n">
        <x:v>-1.75</x:v>
      </x:c>
      <x:c r="D33" s="42" t="n">
        <x:v>7.3325988644247495</x:v>
      </x:c>
      <x:c r="E33" s="42" t="n">
        <x:f>$B$5-D33</x:f>
        <x:v>36.767401135575255</x:v>
      </x:c>
      <x:c r="F33" s="79" t="n">
        <x:v>34.7679</x:v>
      </x:c>
      <x:c r="G33" s="43"/>
      <x:c r="H33" s="43"/>
      <x:c r="I33" s="44" t="n">
        <x:f>IF(COUNT(F33:H33)=0,"",AVERAGE(F33:H33))</x:f>
        <x:v>34.7679</x:v>
      </x:c>
      <x:c r="J33" s="44" t="n">
        <x:f>IF(I33="","",I33-E33)</x:f>
        <x:v>-1.999501135575258</x:v>
      </x:c>
      <x:c r="K33" s="45" t="n">
        <x:f>IF(I33="","",J33/E33)</x:f>
        <x:v>-0.05438244406240039</x:v>
      </x:c>
      <x:c r="L33" s="36" t="str">
        <x:v>Leitura real — sequência serpentina</x:v>
      </x:c>
    </x:row>
    <x:row r="34">
      <x:c r="A34" s="40" t="n">
        <x:v>22</x:v>
      </x:c>
      <x:c r="B34" s="41" t="n">
        <x:v>0.19999999999999996</x:v>
      </x:c>
      <x:c r="C34" s="41" t="n">
        <x:v>-1.75</x:v>
      </x:c>
      <x:c r="D34" s="42" t="n">
        <x:v>7.704967951345019</x:v>
      </x:c>
      <x:c r="E34" s="42" t="n">
        <x:f>$B$5-D34</x:f>
        <x:v>36.39503204865498</x:v>
      </x:c>
      <x:c r="F34" s="79" t="n">
        <x:v>37.4636</x:v>
      </x:c>
      <x:c r="G34" s="43"/>
      <x:c r="H34" s="43"/>
      <x:c r="I34" s="44" t="n">
        <x:f>IF(COUNT(F34:H34)=0,"",AVERAGE(F34:H34))</x:f>
        <x:v>37.4636</x:v>
      </x:c>
      <x:c r="J34" s="44" t="n">
        <x:f>IF(I34="","",I34-E34)</x:f>
        <x:v>1.0685679513450168</x:v>
      </x:c>
      <x:c r="K34" s="45" t="n">
        <x:f>IF(I34="","",J34/E34)</x:f>
        <x:v>0.029360269553176745</x:v>
      </x:c>
      <x:c r="L34" s="36" t="str">
        <x:v>Leitura real — sequência serpentina</x:v>
      </x:c>
    </x:row>
    <x:row r="35">
      <x:c r="A35" s="40" t="n">
        <x:v>23</x:v>
      </x:c>
      <x:c r="B35" s="41" t="n">
        <x:v>0.44999999999999996</x:v>
      </x:c>
      <x:c r="C35" s="41" t="n">
        <x:v>-1.75</x:v>
      </x:c>
      <x:c r="D35" s="42" t="n">
        <x:v>8.021768498072268</x:v>
      </x:c>
      <x:c r="E35" s="42" t="n">
        <x:f>$B$5-D35</x:f>
        <x:v>36.07823150192773</x:v>
      </x:c>
      <x:c r="F35" s="79" t="n">
        <x:v>33.9981</x:v>
      </x:c>
      <x:c r="G35" s="43"/>
      <x:c r="H35" s="43"/>
      <x:c r="I35" s="44" t="n">
        <x:f>IF(COUNT(F35:H35)=0,"",AVERAGE(F35:H35))</x:f>
        <x:v>33.9981</x:v>
      </x:c>
      <x:c r="J35" s="44" t="n">
        <x:f>IF(I35="","",I35-E35)</x:f>
        <x:v>-2.080131501927731</x:v>
      </x:c>
      <x:c r="K35" s="45" t="n">
        <x:f>IF(I35="","",J35/E35)</x:f>
        <x:v>-0.05765613821222322</x:v>
      </x:c>
      <x:c r="L35" s="36" t="str">
        <x:v>Leitura real — sequência serpentina</x:v>
      </x:c>
    </x:row>
    <x:row r="36">
      <x:c r="A36" s="40" t="n">
        <x:v>24</x:v>
      </x:c>
      <x:c r="B36" s="41" t="n">
        <x:v>0.7</x:v>
      </x:c>
      <x:c r="C36" s="41" t="n">
        <x:v>-1.75</x:v>
      </x:c>
      <x:c r="D36" s="42" t="n">
        <x:v>8.263138539883139</x:v>
      </x:c>
      <x:c r="E36" s="42" t="n">
        <x:f>$B$5-D36</x:f>
        <x:v>35.836861460116864</x:v>
      </x:c>
      <x:c r="F36" s="79" t="n">
        <x:v>39.5135</x:v>
      </x:c>
      <x:c r="G36" s="43"/>
      <x:c r="H36" s="43"/>
      <x:c r="I36" s="44" t="n">
        <x:f>IF(COUNT(F36:H36)=0,"",AVERAGE(F36:H36))</x:f>
        <x:v>39.5135</x:v>
      </x:c>
      <x:c r="J36" s="44" t="n">
        <x:f>IF(I36="","",I36-E36)</x:f>
        <x:v>3.676638539883136</x:v>
      </x:c>
      <x:c r="K36" s="45" t="n">
        <x:f>IF(I36="","",J36/E36)</x:f>
        <x:v>0.10259376491367407</x:v>
      </x:c>
      <x:c r="L36" s="36" t="str">
        <x:v>Leitura real — sequência serpentina</x:v>
      </x:c>
    </x:row>
    <x:row r="37">
      <x:c r="A37" s="40" t="n">
        <x:v>25</x:v>
      </x:c>
      <x:c r="B37" s="41" t="n">
        <x:v>0.95</x:v>
      </x:c>
      <x:c r="C37" s="41" t="n">
        <x:v>-1.75</x:v>
      </x:c>
      <x:c r="D37" s="42" t="n">
        <x:v>8.414040396807195</x:v>
      </x:c>
      <x:c r="E37" s="42" t="n">
        <x:f>$B$5-D37</x:f>
        <x:v>35.685959603192806</x:v>
      </x:c>
      <x:c r="F37" s="79" t="n">
        <x:v>34.784</x:v>
      </x:c>
      <x:c r="G37" s="43"/>
      <x:c r="H37" s="43"/>
      <x:c r="I37" s="44" t="n">
        <x:f>IF(COUNT(F37:H37)=0,"",AVERAGE(F37:H37))</x:f>
        <x:v>34.784</x:v>
      </x:c>
      <x:c r="J37" s="44" t="n">
        <x:f>IF(I37="","",I37-E37)</x:f>
        <x:v>-0.9019596031928074</x:v>
      </x:c>
      <x:c r="K37" s="45" t="n">
        <x:f>IF(I37="","",J37/E37)</x:f>
        <x:v>-0.025274915210970243</x:v>
      </x:c>
      <x:c r="L37" s="36" t="str">
        <x:v>Leitura real — sequência serpentina</x:v>
      </x:c>
    </x:row>
    <x:row r="38">
      <x:c r="A38" s="40" t="n">
        <x:v>26</x:v>
      </x:c>
      <x:c r="B38" s="41" t="n">
        <x:v>1.2</x:v>
      </x:c>
      <x:c r="C38" s="41" t="n">
        <x:v>-1.75</x:v>
      </x:c>
      <x:c r="D38" s="42" t="n">
        <x:v>8.46535020275013</x:v>
      </x:c>
      <x:c r="E38" s="42" t="n">
        <x:f>$B$5-D38</x:f>
        <x:v>35.63464979724987</x:v>
      </x:c>
      <x:c r="F38" s="79" t="n">
        <x:v>40.3514</x:v>
      </x:c>
      <x:c r="G38" s="43"/>
      <x:c r="H38" s="43"/>
      <x:c r="I38" s="44" t="n">
        <x:f>IF(COUNT(F38:H38)=0,"",AVERAGE(F38:H38))</x:f>
        <x:v>40.3514</x:v>
      </x:c>
      <x:c r="J38" s="44" t="n">
        <x:f>IF(I38="","",I38-E38)</x:f>
        <x:v>4.716750202750127</x:v>
      </x:c>
      <x:c r="K38" s="45" t="n">
        <x:f>IF(I38="","",J38/E38)</x:f>
        <x:v>0.13236415201459747</x:v>
      </x:c>
      <x:c r="L38" s="36" t="str">
        <x:v>Leitura real — sequência serpentina</x:v>
      </x:c>
    </x:row>
    <x:row r="39">
      <x:c r="A39" s="40" t="n">
        <x:v>27</x:v>
      </x:c>
      <x:c r="B39" s="41" t="n">
        <x:v>1.45</x:v>
      </x:c>
      <x:c r="C39" s="41" t="n">
        <x:v>-1.75</x:v>
      </x:c>
      <x:c r="D39" s="42" t="n">
        <x:v>8.414040396807195</x:v>
      </x:c>
      <x:c r="E39" s="42" t="n">
        <x:f>$B$5-D39</x:f>
        <x:v>35.685959603192806</x:v>
      </x:c>
      <x:c r="F39" s="79" t="n">
        <x:v>37.7899</x:v>
      </x:c>
      <x:c r="G39" s="43"/>
      <x:c r="H39" s="43"/>
      <x:c r="I39" s="44" t="n">
        <x:f>IF(COUNT(F39:H39)=0,"",AVERAGE(F39:H39))</x:f>
        <x:v>37.7899</x:v>
      </x:c>
      <x:c r="J39" s="44" t="n">
        <x:f>IF(I39="","",I39-E39)</x:f>
        <x:v>2.1039403968071966</x:v>
      </x:c>
      <x:c r="K39" s="45" t="n">
        <x:f>IF(I39="","",J39/E39)</x:f>
        <x:v>0.05895709181431002</x:v>
      </x:c>
      <x:c r="L39" s="36" t="str">
        <x:v>Leitura real — sequência serpentina</x:v>
      </x:c>
    </x:row>
    <x:row r="40">
      <x:c r="A40" s="40" t="n">
        <x:v>28</x:v>
      </x:c>
      <x:c r="B40" s="41" t="n">
        <x:v>1.7</x:v>
      </x:c>
      <x:c r="C40" s="41" t="n">
        <x:v>-1.75</x:v>
      </x:c>
      <x:c r="D40" s="42" t="n">
        <x:v>8.263138539883139</x:v>
      </x:c>
      <x:c r="E40" s="42" t="n">
        <x:f>$B$5-D40</x:f>
        <x:v>35.836861460116864</x:v>
      </x:c>
      <x:c r="F40" s="79" t="n">
        <x:v>36.1897</x:v>
      </x:c>
      <x:c r="G40" s="43"/>
      <x:c r="H40" s="43"/>
      <x:c r="I40" s="44" t="n">
        <x:f>IF(COUNT(F40:H40)=0,"",AVERAGE(F40:H40))</x:f>
        <x:v>36.1897</x:v>
      </x:c>
      <x:c r="J40" s="44" t="n">
        <x:f>IF(I40="","",I40-E40)</x:f>
        <x:v>0.3528385398831375</x:v>
      </x:c>
      <x:c r="K40" s="45" t="n">
        <x:f>IF(I40="","",J40/E40)</x:f>
        <x:v>0.009845687526956411</x:v>
      </x:c>
      <x:c r="L40" s="36" t="str">
        <x:v>Leitura real — sequência serpentina</x:v>
      </x:c>
    </x:row>
    <x:row r="41">
      <x:c r="A41" s="40" t="n">
        <x:v>29</x:v>
      </x:c>
      <x:c r="B41" s="41" t="n">
        <x:v>1.95</x:v>
      </x:c>
      <x:c r="C41" s="41" t="n">
        <x:v>-1.75</x:v>
      </x:c>
      <x:c r="D41" s="42" t="n">
        <x:v>8.021768498072268</x:v>
      </x:c>
      <x:c r="E41" s="42" t="n">
        <x:f>$B$5-D41</x:f>
        <x:v>36.07823150192773</x:v>
      </x:c>
      <x:c r="F41" s="79" t="n">
        <x:v>36.2436</x:v>
      </x:c>
      <x:c r="G41" s="43"/>
      <x:c r="H41" s="43"/>
      <x:c r="I41" s="44" t="n">
        <x:f>IF(COUNT(F41:H41)=0,"",AVERAGE(F41:H41))</x:f>
        <x:v>36.2436</x:v>
      </x:c>
      <x:c r="J41" s="44" t="n">
        <x:f>IF(I41="","",I41-E41)</x:f>
        <x:v>0.16536849807226872</x:v>
      </x:c>
      <x:c r="K41" s="45" t="n">
        <x:f>IF(I41="","",J41/E41)</x:f>
        <x:v>0.00458360876317989</x:v>
      </x:c>
      <x:c r="L41" s="36" t="str">
        <x:v>Leitura real — sequência serpentina</x:v>
      </x:c>
    </x:row>
    <x:row r="42">
      <x:c r="A42" s="40" t="n">
        <x:v>30</x:v>
      </x:c>
      <x:c r="B42" s="41" t="n">
        <x:v>2.2</x:v>
      </x:c>
      <x:c r="C42" s="41" t="n">
        <x:v>-1.75</x:v>
      </x:c>
      <x:c r="D42" s="42" t="n">
        <x:v>7.704967951345017</x:v>
      </x:c>
      <x:c r="E42" s="42" t="n">
        <x:f>$B$5-D42</x:f>
        <x:v>36.39503204865498</x:v>
      </x:c>
      <x:c r="F42" s="79" t="n">
        <x:v>38.566</x:v>
      </x:c>
      <x:c r="G42" s="43"/>
      <x:c r="H42" s="43"/>
      <x:c r="I42" s="44" t="n">
        <x:f>IF(COUNT(F42:H42)=0,"",AVERAGE(F42:H42))</x:f>
        <x:v>38.566</x:v>
      </x:c>
      <x:c r="J42" s="44" t="n">
        <x:f>IF(I42="","",I42-E42)</x:f>
        <x:v>2.1709679513450197</x:v>
      </x:c>
      <x:c r="K42" s="45" t="n">
        <x:f>IF(I42="","",J42/E42)</x:f>
        <x:v>0.05965011786341455</x:v>
      </x:c>
      <x:c r="L42" s="36" t="str">
        <x:v>Leitura real — sequência serpentina</x:v>
      </x:c>
    </x:row>
    <x:row r="43">
      <x:c r="A43" s="40" t="n">
        <x:v>31</x:v>
      </x:c>
      <x:c r="B43" s="41" t="n">
        <x:v>2.45</x:v>
      </x:c>
      <x:c r="C43" s="41" t="n">
        <x:v>-1.75</x:v>
      </x:c>
      <x:c r="D43" s="42" t="n">
        <x:v>7.3325988644247495</x:v>
      </x:c>
      <x:c r="E43" s="42" t="n">
        <x:f>$B$5-D43</x:f>
        <x:v>36.767401135575255</x:v>
      </x:c>
      <x:c r="F43" s="79" t="n">
        <x:v>36.3659</x:v>
      </x:c>
      <x:c r="G43" s="43"/>
      <x:c r="H43" s="43"/>
      <x:c r="I43" s="44" t="n">
        <x:f>IF(COUNT(F43:H43)=0,"",AVERAGE(F43:H43))</x:f>
        <x:v>36.3659</x:v>
      </x:c>
      <x:c r="J43" s="44" t="n">
        <x:f>IF(I43="","",I43-E43)</x:f>
        <x:v>-0.401501135575252</x:v>
      </x:c>
      <x:c r="K43" s="45" t="n">
        <x:f>IF(I43="","",J43/E43)</x:f>
        <x:v>-0.010920030330530192</x:v>
      </x:c>
      <x:c r="L43" s="36" t="str">
        <x:v>Leitura real — sequência serpentina</x:v>
      </x:c>
    </x:row>
    <x:row r="44">
      <x:c r="A44" s="40" t="n">
        <x:v>32</x:v>
      </x:c>
      <x:c r="B44" s="41" t="n">
        <x:v>2.7</x:v>
      </x:c>
      <x:c r="C44" s="41" t="n">
        <x:v>-1.75</x:v>
      </x:c>
      <x:c r="D44" s="42" t="n">
        <x:v>6.9269343488945925</x:v>
      </x:c>
      <x:c r="E44" s="42" t="n">
        <x:f>$B$5-D44</x:f>
        <x:v>37.17306565110541</x:v>
      </x:c>
      <x:c r="F44" s="79" t="n">
        <x:v>34.6884</x:v>
      </x:c>
      <x:c r="G44" s="43"/>
      <x:c r="H44" s="43"/>
      <x:c r="I44" s="44" t="n">
        <x:f>IF(COUNT(F44:H44)=0,"",AVERAGE(F44:H44))</x:f>
        <x:v>34.6884</x:v>
      </x:c>
      <x:c r="J44" s="44" t="n">
        <x:f>IF(I44="","",I44-E44)</x:f>
        <x:v>-2.4846656511054093</x:v>
      </x:c>
      <x:c r="K44" s="45" t="n">
        <x:f>IF(I44="","",J44/E44)</x:f>
        <x:v>-0.0668404826878066</x:v>
      </x:c>
      <x:c r="L44" s="36" t="str">
        <x:v>Leitura real — sequência serpentina</x:v>
      </x:c>
    </x:row>
    <x:row r="45">
      <x:c r="A45" s="40" t="n">
        <x:v>33</x:v>
      </x:c>
      <x:c r="B45" s="41" t="n">
        <x:v>2.95</x:v>
      </x:c>
      <x:c r="C45" s="41" t="n">
        <x:v>-1.75</x:v>
      </x:c>
      <x:c r="D45" s="42" t="n">
        <x:v>6.509397600653109</x:v>
      </x:c>
      <x:c r="E45" s="42" t="n">
        <x:f>$B$5-D45</x:f>
        <x:v>37.59060239934689</x:v>
      </x:c>
      <x:c r="F45" s="79" t="n">
        <x:v>37.9714</x:v>
      </x:c>
      <x:c r="G45" s="43"/>
      <x:c r="H45" s="43"/>
      <x:c r="I45" s="44" t="n">
        <x:f>IF(COUNT(F45:H45)=0,"",AVERAGE(F45:H45))</x:f>
        <x:v>37.9714</x:v>
      </x:c>
      <x:c r="J45" s="44" t="n">
        <x:f>IF(I45="","",I45-E45)</x:f>
        <x:v>0.38079760065311063</x:v>
      </x:c>
      <x:c r="K45" s="45" t="n">
        <x:f>IF(I45="","",J45/E45)</x:f>
        <x:v>0.010130127647534765</x:v>
      </x:c>
      <x:c r="L45" s="36" t="str">
        <x:v>Leitura real — sequência serpentina</x:v>
      </x:c>
    </x:row>
    <x:row r="46">
      <x:c r="A46" s="40" t="n">
        <x:v>34</x:v>
      </x:c>
      <x:c r="B46" s="41" t="n">
        <x:v>3.2</x:v>
      </x:c>
      <x:c r="C46" s="41" t="n">
        <x:v>-1.75</x:v>
      </x:c>
      <x:c r="D46" s="42" t="n">
        <x:v>6.097680864275734</x:v>
      </x:c>
      <x:c r="E46" s="42" t="n">
        <x:f>$B$5-D46</x:f>
        <x:v>38.002319135724264</x:v>
      </x:c>
      <x:c r="F46" s="79" t="n">
        <x:v>39.977</x:v>
      </x:c>
      <x:c r="G46" s="43"/>
      <x:c r="H46" s="43"/>
      <x:c r="I46" s="44" t="n">
        <x:f>IF(COUNT(F46:H46)=0,"",AVERAGE(F46:H46))</x:f>
        <x:v>39.977</x:v>
      </x:c>
      <x:c r="J46" s="44" t="n">
        <x:f>IF(I46="","",I46-E46)</x:f>
        <x:v>1.974680864275733</x:v>
      </x:c>
      <x:c r="K46" s="45" t="n">
        <x:f>IF(I46="","",J46/E46)</x:f>
        <x:v>0.05196211465998202</x:v>
      </x:c>
      <x:c r="L46" s="36" t="str">
        <x:v>Leitura real — sequência serpentina</x:v>
      </x:c>
    </x:row>
    <x:row r="47">
      <x:c r="A47" s="40" t="n">
        <x:v>35</x:v>
      </x:c>
      <x:c r="B47" s="41" t="n">
        <x:v>-0.8</x:v>
      </x:c>
      <x:c r="C47" s="41" t="n">
        <x:v>-1.5</x:v>
      </x:c>
      <x:c r="D47" s="42" t="n">
        <x:v>6.552655338928766</x:v>
      </x:c>
      <x:c r="E47" s="42" t="n">
        <x:f>$B$5-D47</x:f>
        <x:v>37.547344661071236</x:v>
      </x:c>
      <x:c r="F47" s="79" t="n">
        <x:v>36.1113</x:v>
      </x:c>
      <x:c r="G47" s="43"/>
      <x:c r="H47" s="43"/>
      <x:c r="I47" s="44" t="n">
        <x:f>IF(COUNT(F47:H47)=0,"",AVERAGE(F47:H47))</x:f>
        <x:v>36.1113</x:v>
      </x:c>
      <x:c r="J47" s="44" t="n">
        <x:f>IF(I47="","",I47-E47)</x:f>
        <x:v>-1.4360446610712359</x:v>
      </x:c>
      <x:c r="K47" s="45" t="n">
        <x:f>IF(I47="","",J47/E47)</x:f>
        <x:v>-0.03824623749119907</x:v>
      </x:c>
      <x:c r="L47" s="36" t="str">
        <x:v>Leitura real — sequência serpentina</x:v>
      </x:c>
    </x:row>
    <x:row r="48">
      <x:c r="A48" s="40" t="n">
        <x:v>36</x:v>
      </x:c>
      <x:c r="B48" s="41" t="n">
        <x:v>-0.55</x:v>
      </x:c>
      <x:c r="C48" s="41" t="n">
        <x:v>-1.5</x:v>
      </x:c>
      <x:c r="D48" s="42" t="n">
        <x:v>7.070611693314394</x:v>
      </x:c>
      <x:c r="E48" s="42" t="n">
        <x:f>$B$5-D48</x:f>
        <x:v>37.029388306685604</x:v>
      </x:c>
      <x:c r="F48" s="79" t="n">
        <x:v>39.2053</x:v>
      </x:c>
      <x:c r="G48" s="43"/>
      <x:c r="H48" s="43"/>
      <x:c r="I48" s="44" t="n">
        <x:f>IF(COUNT(F48:H48)=0,"",AVERAGE(F48:H48))</x:f>
        <x:v>39.2053</x:v>
      </x:c>
      <x:c r="J48" s="44" t="n">
        <x:f>IF(I48="","",I48-E48)</x:f>
        <x:v>2.175911693314397</x:v>
      </x:c>
      <x:c r="K48" s="45" t="n">
        <x:f>IF(I48="","",J48/E48)</x:f>
        <x:v>0.0587617509447635</x:v>
      </x:c>
      <x:c r="L48" s="36" t="str">
        <x:v>Leitura real — sequência serpentina</x:v>
      </x:c>
    </x:row>
    <x:row r="49">
      <x:c r="A49" s="40" t="n">
        <x:v>37</x:v>
      </x:c>
      <x:c r="B49" s="41" t="n">
        <x:v>-0.30000000000000004</x:v>
      </x:c>
      <x:c r="C49" s="41" t="n">
        <x:v>-1.5</x:v>
      </x:c>
      <x:c r="D49" s="42" t="n">
        <x:v>7.609093083073782</x:v>
      </x:c>
      <x:c r="E49" s="42" t="n">
        <x:f>$B$5-D49</x:f>
        <x:v>36.49090691692622</x:v>
      </x:c>
      <x:c r="F49" s="79" t="n">
        <x:v>35.8896</x:v>
      </x:c>
      <x:c r="G49" s="43"/>
      <x:c r="H49" s="43"/>
      <x:c r="I49" s="44" t="n">
        <x:f>IF(COUNT(F49:H49)=0,"",AVERAGE(F49:H49))</x:f>
        <x:v>35.8896</x:v>
      </x:c>
      <x:c r="J49" s="44" t="n">
        <x:f>IF(I49="","",I49-E49)</x:f>
        <x:v>-0.6013069169262195</x:v>
      </x:c>
      <x:c r="K49" s="45" t="n">
        <x:f>IF(I49="","",J49/E49)</x:f>
        <x:v>-0.016478267265188324</x:v>
      </x:c>
      <x:c r="L49" s="36" t="str">
        <x:v>Leitura real — sequência serpentina</x:v>
      </x:c>
    </x:row>
    <x:row r="50">
      <x:c r="A50" s="40" t="n">
        <x:v>38</x:v>
      </x:c>
      <x:c r="B50" s="41" t="n">
        <x:v>-0.050000000000000044</x:v>
      </x:c>
      <x:c r="C50" s="41" t="n">
        <x:v>-1.5</x:v>
      </x:c>
      <x:c r="D50" s="42" t="n">
        <x:v>8.143201514150984</x:v>
      </x:c>
      <x:c r="E50" s="42" t="n">
        <x:f>$B$5-D50</x:f>
        <x:v>35.95679848584902</x:v>
      </x:c>
      <x:c r="F50" s="79" t="n">
        <x:v>35.4822</x:v>
      </x:c>
      <x:c r="G50" s="43"/>
      <x:c r="H50" s="43"/>
      <x:c r="I50" s="44" t="n">
        <x:f>IF(COUNT(F50:H50)=0,"",AVERAGE(F50:H50))</x:f>
        <x:v>35.4822</x:v>
      </x:c>
      <x:c r="J50" s="44" t="n">
        <x:f>IF(I50="","",I50-E50)</x:f>
        <x:v>-0.47459848584902176</x:v>
      </x:c>
      <x:c r="K50" s="45" t="n">
        <x:f>IF(I50="","",J50/E50)</x:f>
        <x:v>-0.013199130785678886</x:v>
      </x:c>
      <x:c r="L50" s="36" t="str">
        <x:v>Leitura real — sequência serpentina</x:v>
      </x:c>
    </x:row>
    <x:row r="51">
      <x:c r="A51" s="40" t="n">
        <x:v>39</x:v>
      </x:c>
      <x:c r="B51" s="41" t="n">
        <x:v>0.19999999999999996</x:v>
      </x:c>
      <x:c r="C51" s="41" t="n">
        <x:v>-1.5</x:v>
      </x:c>
      <x:c r="D51" s="42" t="n">
        <x:v>8.640544547215532</x:v>
      </x:c>
      <x:c r="E51" s="42" t="n">
        <x:f>$B$5-D51</x:f>
        <x:v>35.45945545278447</x:v>
      </x:c>
      <x:c r="F51" s="79" t="n">
        <x:v>37.0931</x:v>
      </x:c>
      <x:c r="G51" s="43"/>
      <x:c r="H51" s="43"/>
      <x:c r="I51" s="44" t="n">
        <x:f>IF(COUNT(F51:H51)=0,"",AVERAGE(F51:H51))</x:f>
        <x:v>37.0931</x:v>
      </x:c>
      <x:c r="J51" s="44" t="n">
        <x:f>IF(I51="","",I51-E51)</x:f>
        <x:v>1.6336445472155319</x:v>
      </x:c>
      <x:c r="K51" s="45" t="n">
        <x:f>IF(I51="","",J51/E51)</x:f>
        <x:v>0.04607077368660632</x:v>
      </x:c>
      <x:c r="L51" s="36" t="str">
        <x:v>Leitura real — sequência serpentina</x:v>
      </x:c>
    </x:row>
    <x:row r="52">
      <x:c r="A52" s="40" t="n">
        <x:v>40</x:v>
      </x:c>
      <x:c r="B52" s="41" t="n">
        <x:v>0.44999999999999996</x:v>
      </x:c>
      <x:c r="C52" s="41" t="n">
        <x:v>-1.5</x:v>
      </x:c>
      <x:c r="D52" s="42" t="n">
        <x:v>9.06681719731726</x:v>
      </x:c>
      <x:c r="E52" s="42" t="n">
        <x:f>$B$5-D52</x:f>
        <x:v>35.033182802682745</x:v>
      </x:c>
      <x:c r="F52" s="79" t="n">
        <x:v>37.431</x:v>
      </x:c>
      <x:c r="G52" s="43"/>
      <x:c r="H52" s="43"/>
      <x:c r="I52" s="44" t="n">
        <x:f>IF(COUNT(F52:H52)=0,"",AVERAGE(F52:H52))</x:f>
        <x:v>37.431</x:v>
      </x:c>
      <x:c r="J52" s="44" t="n">
        <x:f>IF(I52="","",I52-E52)</x:f>
        <x:v>2.397817197317252</x:v>
      </x:c>
      <x:c r="K52" s="45" t="n">
        <x:f>IF(I52="","",J52/E52)</x:f>
        <x:v>0.06844417222444413</x:v>
      </x:c>
      <x:c r="L52" s="36" t="str">
        <x:v>Leitura real — sequência serpentina</x:v>
      </x:c>
    </x:row>
    <x:row r="53">
      <x:c r="A53" s="40" t="n">
        <x:v>41</x:v>
      </x:c>
      <x:c r="B53" s="41" t="n">
        <x:v>0.7</x:v>
      </x:c>
      <x:c r="C53" s="41" t="n">
        <x:v>-1.5</x:v>
      </x:c>
      <x:c r="D53" s="42" t="n">
        <x:v>9.392233642556672</x:v>
      </x:c>
      <x:c r="E53" s="42" t="n">
        <x:f>$B$5-D53</x:f>
        <x:v>34.70776635744333</x:v>
      </x:c>
      <x:c r="F53" s="79" t="n">
        <x:v>35.6125</x:v>
      </x:c>
      <x:c r="G53" s="43"/>
      <x:c r="H53" s="43"/>
      <x:c r="I53" s="44" t="n">
        <x:f>IF(COUNT(F53:H53)=0,"",AVERAGE(F53:H53))</x:f>
        <x:v>35.6125</x:v>
      </x:c>
      <x:c r="J53" s="44" t="n">
        <x:f>IF(I53="","",I53-E53)</x:f>
        <x:v>0.9047336425566641</x:v>
      </x:c>
      <x:c r="K53" s="45" t="n">
        <x:f>IF(I53="","",J53/E53)</x:f>
        <x:v>0.026067181426748236</x:v>
      </x:c>
      <x:c r="L53" s="36" t="str">
        <x:v>Leitura real — sequência serpentina</x:v>
      </x:c>
    </x:row>
    <x:row r="54">
      <x:c r="A54" s="40" t="n">
        <x:v>42</x:v>
      </x:c>
      <x:c r="B54" s="41" t="n">
        <x:v>0.95</x:v>
      </x:c>
      <x:c r="C54" s="41" t="n">
        <x:v>-1.5</x:v>
      </x:c>
      <x:c r="D54" s="42" t="n">
        <x:v>9.5955082237215</x:v>
      </x:c>
      <x:c r="E54" s="42" t="n">
        <x:f>$B$5-D54</x:f>
        <x:v>34.5044917762785</x:v>
      </x:c>
      <x:c r="F54" s="79" t="n">
        <x:v>33.5977</x:v>
      </x:c>
      <x:c r="G54" s="43"/>
      <x:c r="H54" s="43"/>
      <x:c r="I54" s="44" t="n">
        <x:f>IF(COUNT(F54:H54)=0,"",AVERAGE(F54:H54))</x:f>
        <x:v>33.5977</x:v>
      </x:c>
      <x:c r="J54" s="44" t="n">
        <x:f>IF(I54="","",I54-E54)</x:f>
        <x:v>-0.9067917762784958</x:v>
      </x:c>
      <x:c r="K54" s="45" t="n">
        <x:f>IF(I54="","",J54/E54)</x:f>
        <x:v>-0.026280397988702048</x:v>
      </x:c>
      <x:c r="L54" s="36" t="str">
        <x:v>Leitura real — sequência serpentina</x:v>
      </x:c>
    </x:row>
    <x:row r="55">
      <x:c r="A55" s="40" t="n">
        <x:v>43</x:v>
      </x:c>
      <x:c r="B55" s="41" t="n">
        <x:v>1.2</x:v>
      </x:c>
      <x:c r="C55" s="41" t="n">
        <x:v>-1.5</x:v>
      </x:c>
      <x:c r="D55" s="42" t="n">
        <x:v>9.664546396212268</x:v>
      </x:c>
      <x:c r="E55" s="42" t="n">
        <x:f>$B$5-D55</x:f>
        <x:v>34.435453603787735</x:v>
      </x:c>
      <x:c r="F55" s="79" t="n">
        <x:v>33.0841</x:v>
      </x:c>
      <x:c r="G55" s="43"/>
      <x:c r="H55" s="43"/>
      <x:c r="I55" s="44" t="n">
        <x:f>IF(COUNT(F55:H55)=0,"",AVERAGE(F55:H55))</x:f>
        <x:v>33.0841</x:v>
      </x:c>
      <x:c r="J55" s="44" t="n">
        <x:f>IF(I55="","",I55-E55)</x:f>
        <x:v>-1.3513536037877358</x:v>
      </x:c>
      <x:c r="K55" s="45" t="n">
        <x:f>IF(I55="","",J55/E55)</x:f>
        <x:v>-0.03924308996583374</x:v>
      </x:c>
      <x:c r="L55" s="36" t="str">
        <x:v>Leitura real — sequência serpentina</x:v>
      </x:c>
    </x:row>
    <x:row r="56">
      <x:c r="A56" s="40" t="n">
        <x:v>44</x:v>
      </x:c>
      <x:c r="B56" s="41" t="n">
        <x:v>1.45</x:v>
      </x:c>
      <x:c r="C56" s="41" t="n">
        <x:v>-1.5</x:v>
      </x:c>
      <x:c r="D56" s="42" t="n">
        <x:v>9.5955082237215</x:v>
      </x:c>
      <x:c r="E56" s="42" t="n">
        <x:f>$B$5-D56</x:f>
        <x:v>34.5044917762785</x:v>
      </x:c>
      <x:c r="F56" s="79" t="n">
        <x:v>37.9895</x:v>
      </x:c>
      <x:c r="G56" s="43"/>
      <x:c r="H56" s="43"/>
      <x:c r="I56" s="44" t="n">
        <x:f>IF(COUNT(F56:H56)=0,"",AVERAGE(F56:H56))</x:f>
        <x:v>37.9895</x:v>
      </x:c>
      <x:c r="J56" s="44" t="n">
        <x:f>IF(I56="","",I56-E56)</x:f>
        <x:v>3.4850082237215005</x:v>
      </x:c>
      <x:c r="K56" s="45" t="n">
        <x:f>IF(I56="","",J56/E56)</x:f>
        <x:v>0.10100158107871074</x:v>
      </x:c>
      <x:c r="L56" s="36" t="str">
        <x:v>Leitura real — sequência serpentina</x:v>
      </x:c>
    </x:row>
    <x:row r="57">
      <x:c r="A57" s="40" t="n">
        <x:v>45</x:v>
      </x:c>
      <x:c r="B57" s="41" t="n">
        <x:v>1.7</x:v>
      </x:c>
      <x:c r="C57" s="41" t="n">
        <x:v>-1.5</x:v>
      </x:c>
      <x:c r="D57" s="42" t="n">
        <x:v>9.392233642556672</x:v>
      </x:c>
      <x:c r="E57" s="42" t="n">
        <x:f>$B$5-D57</x:f>
        <x:v>34.70776635744333</x:v>
      </x:c>
      <x:c r="F57" s="79" t="n">
        <x:v>36.3559</x:v>
      </x:c>
      <x:c r="G57" s="43"/>
      <x:c r="H57" s="43"/>
      <x:c r="I57" s="44" t="n">
        <x:f>IF(COUNT(F57:H57)=0,"",AVERAGE(F57:H57))</x:f>
        <x:v>36.3559</x:v>
      </x:c>
      <x:c r="J57" s="44" t="n">
        <x:f>IF(I57="","",I57-E57)</x:f>
        <x:v>1.6481336425566653</x:v>
      </x:c>
      <x:c r="K57" s="45" t="n">
        <x:f>IF(I57="","",J57/E57)</x:f>
        <x:v>0.047486018707833415</x:v>
      </x:c>
      <x:c r="L57" s="36" t="str">
        <x:v>Leitura real — sequência serpentina</x:v>
      </x:c>
    </x:row>
    <x:row r="58">
      <x:c r="A58" s="40" t="n">
        <x:v>46</x:v>
      </x:c>
      <x:c r="B58" s="41" t="n">
        <x:v>1.95</x:v>
      </x:c>
      <x:c r="C58" s="41" t="n">
        <x:v>-1.5</x:v>
      </x:c>
      <x:c r="D58" s="42" t="n">
        <x:v>9.06681719731726</x:v>
      </x:c>
      <x:c r="E58" s="42" t="n">
        <x:f>$B$5-D58</x:f>
        <x:v>35.033182802682745</x:v>
      </x:c>
      <x:c r="F58" s="79" t="n">
        <x:v>36.9448</x:v>
      </x:c>
      <x:c r="G58" s="43"/>
      <x:c r="H58" s="43"/>
      <x:c r="I58" s="44" t="n">
        <x:f>IF(COUNT(F58:H58)=0,"",AVERAGE(F58:H58))</x:f>
        <x:v>36.9448</x:v>
      </x:c>
      <x:c r="J58" s="44" t="n">
        <x:f>IF(I58="","",I58-E58)</x:f>
        <x:v>1.9116171973172555</x:v>
      </x:c>
      <x:c r="K58" s="45" t="n">
        <x:f>IF(I58="","",J58/E58)</x:f>
        <x:v>0.054565901365115736</x:v>
      </x:c>
      <x:c r="L58" s="36" t="str">
        <x:v>Leitura real — sequência serpentina</x:v>
      </x:c>
    </x:row>
    <x:row r="59">
      <x:c r="A59" s="40" t="n">
        <x:v>47</x:v>
      </x:c>
      <x:c r="B59" s="41" t="n">
        <x:v>2.2</x:v>
      </x:c>
      <x:c r="C59" s="41" t="n">
        <x:v>-1.5</x:v>
      </x:c>
      <x:c r="D59" s="42" t="n">
        <x:v>8.64054454721553</x:v>
      </x:c>
      <x:c r="E59" s="42" t="n">
        <x:f>$B$5-D59</x:f>
        <x:v>35.45945545278447</x:v>
      </x:c>
      <x:c r="F59" s="79" t="n">
        <x:v>40.5907</x:v>
      </x:c>
      <x:c r="G59" s="43"/>
      <x:c r="H59" s="43"/>
      <x:c r="I59" s="44" t="n">
        <x:f>IF(COUNT(F59:H59)=0,"",AVERAGE(F59:H59))</x:f>
        <x:v>40.5907</x:v>
      </x:c>
      <x:c r="J59" s="44" t="n">
        <x:f>IF(I59="","",I59-E59)</x:f>
        <x:v>5.13124454721553</x:v>
      </x:c>
      <x:c r="K59" s="45" t="n">
        <x:f>IF(I59="","",J59/E59)</x:f>
        <x:v>0.14470737019771682</x:v>
      </x:c>
      <x:c r="L59" s="36" t="str">
        <x:v>Leitura real — sequência serpentina</x:v>
      </x:c>
    </x:row>
    <x:row r="60">
      <x:c r="A60" s="40" t="n">
        <x:v>48</x:v>
      </x:c>
      <x:c r="B60" s="41" t="n">
        <x:v>2.45</x:v>
      </x:c>
      <x:c r="C60" s="41" t="n">
        <x:v>-1.5</x:v>
      </x:c>
      <x:c r="D60" s="42" t="n">
        <x:v>8.143201514150983</x:v>
      </x:c>
      <x:c r="E60" s="42" t="n">
        <x:f>$B$5-D60</x:f>
        <x:v>35.95679848584902</x:v>
      </x:c>
      <x:c r="F60" s="79" t="n">
        <x:v>34.4371</x:v>
      </x:c>
      <x:c r="G60" s="43"/>
      <x:c r="H60" s="43"/>
      <x:c r="I60" s="44" t="n">
        <x:f>IF(COUNT(F60:H60)=0,"",AVERAGE(F60:H60))</x:f>
        <x:v>34.4371</x:v>
      </x:c>
      <x:c r="J60" s="44" t="n">
        <x:f>IF(I60="","",I60-E60)</x:f>
        <x:v>-1.5196984858490197</x:v>
      </x:c>
      <x:c r="K60" s="45" t="n">
        <x:f>IF(I60="","",J60/E60)</x:f>
        <x:v>-0.04226456608607979</x:v>
      </x:c>
      <x:c r="L60" s="36" t="str">
        <x:v>Leitura real — sequência serpentina</x:v>
      </x:c>
    </x:row>
    <x:row r="61">
      <x:c r="A61" s="40" t="n">
        <x:v>49</x:v>
      </x:c>
      <x:c r="B61" s="41" t="n">
        <x:v>2.7</x:v>
      </x:c>
      <x:c r="C61" s="41" t="n">
        <x:v>-1.5</x:v>
      </x:c>
      <x:c r="D61" s="42" t="n">
        <x:v>7.609093083073782</x:v>
      </x:c>
      <x:c r="E61" s="42" t="n">
        <x:f>$B$5-D61</x:f>
        <x:v>36.49090691692622</x:v>
      </x:c>
      <x:c r="F61" s="79" t="n">
        <x:v>42.5686</x:v>
      </x:c>
      <x:c r="G61" s="43"/>
      <x:c r="H61" s="43"/>
      <x:c r="I61" s="44" t="n">
        <x:f>IF(COUNT(F61:H61)=0,"",AVERAGE(F61:H61))</x:f>
        <x:v>42.5686</x:v>
      </x:c>
      <x:c r="J61" s="44" t="n">
        <x:f>IF(I61="","",I61-E61)</x:f>
        <x:v>6.0776930830737825</x:v>
      </x:c>
      <x:c r="K61" s="45" t="n">
        <x:f>IF(I61="","",J61/E61)</x:f>
        <x:v>0.16655363202975532</x:v>
      </x:c>
      <x:c r="L61" s="36" t="str">
        <x:v>Leitura real — sequência serpentina</x:v>
      </x:c>
    </x:row>
    <x:row r="62">
      <x:c r="A62" s="40" t="n">
        <x:v>50</x:v>
      </x:c>
      <x:c r="B62" s="41" t="n">
        <x:v>2.95</x:v>
      </x:c>
      <x:c r="C62" s="41" t="n">
        <x:v>-1.5</x:v>
      </x:c>
      <x:c r="D62" s="42" t="n">
        <x:v>7.070611693314394</x:v>
      </x:c>
      <x:c r="E62" s="42" t="n">
        <x:f>$B$5-D62</x:f>
        <x:v>37.029388306685604</x:v>
      </x:c>
      <x:c r="F62" s="79" t="n">
        <x:v>43.3961</x:v>
      </x:c>
      <x:c r="G62" s="43"/>
      <x:c r="H62" s="43"/>
      <x:c r="I62" s="44" t="n">
        <x:f>IF(COUNT(F62:H62)=0,"",AVERAGE(F62:H62))</x:f>
        <x:v>43.3961</x:v>
      </x:c>
      <x:c r="J62" s="44" t="n">
        <x:f>IF(I62="","",I62-E62)</x:f>
        <x:v>6.366711693314393</x:v>
      </x:c>
      <x:c r="K62" s="45" t="n">
        <x:f>IF(I62="","",J62/E62)</x:f>
        <x:v>0.17193672335561894</x:v>
      </x:c>
      <x:c r="L62" s="36" t="str">
        <x:v>Leitura real — sequência serpentina</x:v>
      </x:c>
    </x:row>
    <x:row r="63">
      <x:c r="A63" s="40" t="n">
        <x:v>51</x:v>
      </x:c>
      <x:c r="B63" s="41" t="n">
        <x:v>3.2</x:v>
      </x:c>
      <x:c r="C63" s="41" t="n">
        <x:v>-1.5</x:v>
      </x:c>
      <x:c r="D63" s="42" t="n">
        <x:v>6.552655338928764</x:v>
      </x:c>
      <x:c r="E63" s="42" t="n">
        <x:f>$B$5-D63</x:f>
        <x:v>37.547344661071236</x:v>
      </x:c>
      <x:c r="F63" s="79" t="n">
        <x:v>41.551</x:v>
      </x:c>
      <x:c r="G63" s="43"/>
      <x:c r="H63" s="43"/>
      <x:c r="I63" s="44" t="n">
        <x:f>IF(COUNT(F63:H63)=0,"",AVERAGE(F63:H63))</x:f>
        <x:v>41.551</x:v>
      </x:c>
      <x:c r="J63" s="44" t="n">
        <x:f>IF(I63="","",I63-E63)</x:f>
        <x:v>4.003655338928766</x:v>
      </x:c>
      <x:c r="K63" s="45" t="n">
        <x:f>IF(I63="","",J63/E63)</x:f>
        <x:v>0.1066295200118298</x:v>
      </x:c>
      <x:c r="L63" s="36" t="str">
        <x:v>Leitura real — sequência serpentina</x:v>
      </x:c>
    </x:row>
    <x:row r="64">
      <x:c r="A64" s="40" t="n">
        <x:v>52</x:v>
      </x:c>
      <x:c r="B64" s="41" t="n">
        <x:v>-0.8</x:v>
      </x:c>
      <x:c r="C64" s="41" t="n">
        <x:v>-1.25</x:v>
      </x:c>
      <x:c r="D64" s="42" t="n">
        <x:v>7.048306503321335</x:v>
      </x:c>
      <x:c r="E64" s="42" t="n">
        <x:f>$B$5-D64</x:f>
        <x:v>37.051693496678666</x:v>
      </x:c>
      <x:c r="F64" s="79" t="n">
        <x:v>37.5241</x:v>
      </x:c>
      <x:c r="G64" s="43"/>
      <x:c r="H64" s="43"/>
      <x:c r="I64" s="44" t="n">
        <x:f>IF(COUNT(F64:H64)=0,"",AVERAGE(F64:H64))</x:f>
        <x:v>37.5241</x:v>
      </x:c>
      <x:c r="J64" s="44" t="n">
        <x:f>IF(I64="","",I64-E64)</x:f>
        <x:v>0.4724065033213307</x:v>
      </x:c>
      <x:c r="K64" s="45" t="n">
        <x:f>IF(I64="","",J64/E64)</x:f>
        <x:v>0.01274993013109313</x:v>
      </x:c>
      <x:c r="L64" s="36" t="str">
        <x:v>Leitura real — sequência serpentina</x:v>
      </x:c>
    </x:row>
    <x:row r="65">
      <x:c r="A65" s="40" t="n">
        <x:v>53</x:v>
      </x:c>
      <x:c r="B65" s="41" t="n">
        <x:v>-0.55</x:v>
      </x:c>
      <x:c r="C65" s="41" t="n">
        <x:v>-1.25</x:v>
      </x:c>
      <x:c r="D65" s="42" t="n">
        <x:v>7.707572810864379</x:v>
      </x:c>
      <x:c r="E65" s="42" t="n">
        <x:f>$B$5-D65</x:f>
        <x:v>36.392427189135624</x:v>
      </x:c>
      <x:c r="F65" s="79" t="n">
        <x:v>34.9445</x:v>
      </x:c>
      <x:c r="G65" s="43"/>
      <x:c r="H65" s="43"/>
      <x:c r="I65" s="44" t="n">
        <x:f>IF(COUNT(F65:H65)=0,"",AVERAGE(F65:H65))</x:f>
        <x:v>34.9445</x:v>
      </x:c>
      <x:c r="J65" s="44" t="n">
        <x:f>IF(I65="","",I65-E65)</x:f>
        <x:v>-1.4479271891356262</x:v>
      </x:c>
      <x:c r="K65" s="45" t="n">
        <x:f>IF(I65="","",J65/E65)</x:f>
        <x:v>-0.039786496833821565</x:v>
      </x:c>
      <x:c r="L65" s="36" t="str">
        <x:v>Leitura real — sequência serpentina</x:v>
      </x:c>
    </x:row>
    <x:row r="66">
      <x:c r="A66" s="40" t="n">
        <x:v>54</x:v>
      </x:c>
      <x:c r="B66" s="41" t="n">
        <x:v>-0.30000000000000004</x:v>
      </x:c>
      <x:c r="C66" s="41" t="n">
        <x:v>-1.25</x:v>
      </x:c>
      <x:c r="D66" s="42" t="n">
        <x:v>8.415644093049599</x:v>
      </x:c>
      <x:c r="E66" s="42" t="n">
        <x:f>$B$5-D66</x:f>
        <x:v>35.6843559069504</x:v>
      </x:c>
      <x:c r="F66" s="79" t="n">
        <x:v>38.4556</x:v>
      </x:c>
      <x:c r="G66" s="43"/>
      <x:c r="H66" s="43"/>
      <x:c r="I66" s="44" t="n">
        <x:f>IF(COUNT(F66:H66)=0,"",AVERAGE(F66:H66))</x:f>
        <x:v>38.4556</x:v>
      </x:c>
      <x:c r="J66" s="44" t="n">
        <x:f>IF(I66="","",I66-E66)</x:f>
        <x:v>2.771244093049596</x:v>
      </x:c>
      <x:c r="K66" s="45" t="n">
        <x:f>IF(I66="","",J66/E66)</x:f>
        <x:v>0.07765991630270194</x:v>
      </x:c>
      <x:c r="L66" s="36" t="str">
        <x:v>Leitura real — sequência serpentina</x:v>
      </x:c>
    </x:row>
    <x:row r="67">
      <x:c r="A67" s="40" t="n">
        <x:v>55</x:v>
      </x:c>
      <x:c r="B67" s="41" t="n">
        <x:v>-0.050000000000000044</x:v>
      </x:c>
      <x:c r="C67" s="41" t="n">
        <x:v>-1.25</x:v>
      </x:c>
      <x:c r="D67" s="42" t="n">
        <x:v>9.136972281704445</x:v>
      </x:c>
      <x:c r="E67" s="42" t="n">
        <x:f>$B$5-D67</x:f>
        <x:v>34.96302771829556</x:v>
      </x:c>
      <x:c r="F67" s="79" t="n">
        <x:v>32.9013</x:v>
      </x:c>
      <x:c r="G67" s="43"/>
      <x:c r="H67" s="43"/>
      <x:c r="I67" s="44" t="n">
        <x:f>IF(COUNT(F67:H67)=0,"",AVERAGE(F67:H67))</x:f>
        <x:v>32.9013</x:v>
      </x:c>
      <x:c r="J67" s="44" t="n">
        <x:f>IF(I67="","",I67-E67)</x:f>
        <x:v>-2.0617277182955576</x:v>
      </x:c>
      <x:c r="K67" s="45" t="n">
        <x:f>IF(I67="","",J67/E67)</x:f>
        <x:v>-0.058968797980178664</x:v>
      </x:c>
      <x:c r="L67" s="36" t="str">
        <x:v>Leitura real — sequência serpentina</x:v>
      </x:c>
    </x:row>
    <x:row r="68">
      <x:c r="A68" s="40" t="n">
        <x:v>56</x:v>
      </x:c>
      <x:c r="B68" s="41" t="n">
        <x:v>0.19999999999999996</x:v>
      </x:c>
      <x:c r="C68" s="41" t="n">
        <x:v>-1.25</x:v>
      </x:c>
      <x:c r="D68" s="42" t="n">
        <x:v>9.819687187132912</x:v>
      </x:c>
      <x:c r="E68" s="42" t="n">
        <x:f>$B$5-D68</x:f>
        <x:v>34.28031281286709</x:v>
      </x:c>
      <x:c r="F68" s="79" t="n">
        <x:v>31.1696</x:v>
      </x:c>
      <x:c r="G68" s="43"/>
      <x:c r="H68" s="43"/>
      <x:c r="I68" s="44" t="n">
        <x:f>IF(COUNT(F68:H68)=0,"",AVERAGE(F68:H68))</x:f>
        <x:v>31.1696</x:v>
      </x:c>
      <x:c r="J68" s="44" t="n">
        <x:f>IF(I68="","",I68-E68)</x:f>
        <x:v>-3.1107128128670887</x:v>
      </x:c>
      <x:c r="K68" s="45" t="n">
        <x:f>IF(I68="","",J68/E68)</x:f>
        <x:v>-0.0907434196953852</x:v>
      </x:c>
      <x:c r="L68" s="36" t="str">
        <x:v>Leitura real — sequência serpentina</x:v>
      </x:c>
    </x:row>
    <x:row r="69">
      <x:c r="A69" s="40" t="n">
        <x:v>57</x:v>
      </x:c>
      <x:c r="B69" s="41" t="n">
        <x:v>0.44999999999999996</x:v>
      </x:c>
      <x:c r="C69" s="41" t="n">
        <x:v>-1.25</x:v>
      </x:c>
      <x:c r="D69" s="42" t="n">
        <x:v>10.407677218416746</x:v>
      </x:c>
      <x:c r="E69" s="42" t="n">
        <x:f>$B$5-D69</x:f>
        <x:v>33.69232278158326</x:v>
      </x:c>
      <x:c r="F69" s="79" t="n">
        <x:v>31.6178</x:v>
      </x:c>
      <x:c r="G69" s="43"/>
      <x:c r="H69" s="43"/>
      <x:c r="I69" s="44" t="n">
        <x:f>IF(COUNT(F69:H69)=0,"",AVERAGE(F69:H69))</x:f>
        <x:v>31.6178</x:v>
      </x:c>
      <x:c r="J69" s="44" t="n">
        <x:f>IF(I69="","",I69-E69)</x:f>
        <x:v>-2.0745227815832585</x:v>
      </x:c>
      <x:c r="K69" s="45" t="n">
        <x:f>IF(I69="","",J69/E69)</x:f>
        <x:v>-0.06157256639833762</x:v>
      </x:c>
      <x:c r="L69" s="36" t="str">
        <x:v>Leitura real — sequência serpentina</x:v>
      </x:c>
    </x:row>
    <x:row r="70">
      <x:c r="A70" s="40" t="n">
        <x:v>58</x:v>
      </x:c>
      <x:c r="B70" s="41" t="n">
        <x:v>0.7</x:v>
      </x:c>
      <x:c r="C70" s="41" t="n">
        <x:v>-1.25</x:v>
      </x:c>
      <x:c r="D70" s="42" t="n">
        <x:v>10.8550447063092</x:v>
      </x:c>
      <x:c r="E70" s="42" t="n">
        <x:f>$B$5-D70</x:f>
        <x:v>33.2449552936908</x:v>
      </x:c>
      <x:c r="F70" s="79" t="n">
        <x:v>31.1423</x:v>
      </x:c>
      <x:c r="G70" s="43"/>
      <x:c r="H70" s="43"/>
      <x:c r="I70" s="44" t="n">
        <x:f>IF(COUNT(F70:H70)=0,"",AVERAGE(F70:H70))</x:f>
        <x:v>31.1423</x:v>
      </x:c>
      <x:c r="J70" s="44" t="n">
        <x:f>IF(I70="","",I70-E70)</x:f>
        <x:v>-2.102655293690802</x:v>
      </x:c>
      <x:c r="K70" s="45" t="n">
        <x:f>IF(I70="","",J70/E70)</x:f>
        <x:v>-0.06324734911253865</x:v>
      </x:c>
      <x:c r="L70" s="36" t="str">
        <x:v>Leitura real — sequência serpentina</x:v>
      </x:c>
    </x:row>
    <x:row r="71">
      <x:c r="A71" s="40" t="n">
        <x:v>59</x:v>
      </x:c>
      <x:c r="B71" s="41" t="n">
        <x:v>0.95</x:v>
      </x:c>
      <x:c r="C71" s="41" t="n">
        <x:v>-1.25</x:v>
      </x:c>
      <x:c r="D71" s="42" t="n">
        <x:v>11.13278339116863</x:v>
      </x:c>
      <x:c r="E71" s="42" t="n">
        <x:f>$B$5-D71</x:f>
        <x:v>32.96721660883137</x:v>
      </x:c>
      <x:c r="F71" s="79" t="n">
        <x:v>30.9349</x:v>
      </x:c>
      <x:c r="G71" s="43"/>
      <x:c r="H71" s="43"/>
      <x:c r="I71" s="44" t="n">
        <x:f>IF(COUNT(F71:H71)=0,"",AVERAGE(F71:H71))</x:f>
        <x:v>30.9349</x:v>
      </x:c>
      <x:c r="J71" s="44" t="n">
        <x:f>IF(I71="","",I71-E71)</x:f>
        <x:v>-2.0323166088313727</x:v>
      </x:c>
      <x:c r="K71" s="45" t="n">
        <x:f>IF(I71="","",J71/E71)</x:f>
        <x:v>-0.06164659373418103</x:v>
      </x:c>
      <x:c r="L71" s="36" t="str">
        <x:v>Leitura real — sequência serpentina</x:v>
      </x:c>
    </x:row>
    <x:row r="72">
      <x:c r="A72" s="40" t="n">
        <x:v>60</x:v>
      </x:c>
      <x:c r="B72" s="41" t="n">
        <x:v>1.2</x:v>
      </x:c>
      <x:c r="C72" s="41" t="n">
        <x:v>-1.25</x:v>
      </x:c>
      <x:c r="D72" s="42" t="n">
        <x:v>11.226706698609659</x:v>
      </x:c>
      <x:c r="E72" s="42" t="n">
        <x:f>$B$5-D72</x:f>
        <x:v>32.87329330139034</x:v>
      </x:c>
      <x:c r="F72" s="79" t="n">
        <x:v>31.7421</x:v>
      </x:c>
      <x:c r="G72" s="43"/>
      <x:c r="H72" s="43"/>
      <x:c r="I72" s="44" t="n">
        <x:f>IF(COUNT(F72:H72)=0,"",AVERAGE(F72:H72))</x:f>
        <x:v>31.7421</x:v>
      </x:c>
      <x:c r="J72" s="44" t="n">
        <x:f>IF(I72="","",I72-E72)</x:f>
        <x:v>-1.13119330139034</x:v>
      </x:c>
      <x:c r="K72" s="45" t="n">
        <x:f>IF(I72="","",J72/E72)</x:f>
        <x:v>-0.03441070813986554</x:v>
      </x:c>
      <x:c r="L72" s="36" t="str">
        <x:v>Leitura real — sequência serpentina</x:v>
      </x:c>
    </x:row>
    <x:row r="73">
      <x:c r="A73" s="40" t="n">
        <x:v>61</x:v>
      </x:c>
      <x:c r="B73" s="41" t="n">
        <x:v>1.45</x:v>
      </x:c>
      <x:c r="C73" s="41" t="n">
        <x:v>-1.25</x:v>
      </x:c>
      <x:c r="D73" s="42" t="n">
        <x:v>11.13278339116863</x:v>
      </x:c>
      <x:c r="E73" s="42" t="n">
        <x:f>$B$5-D73</x:f>
        <x:v>32.96721660883137</x:v>
      </x:c>
      <x:c r="F73" s="79" t="n">
        <x:v>35.6256</x:v>
      </x:c>
      <x:c r="G73" s="43"/>
      <x:c r="H73" s="43"/>
      <x:c r="I73" s="44" t="n">
        <x:f>IF(COUNT(F73:H73)=0,"",AVERAGE(F73:H73))</x:f>
        <x:v>35.6256</x:v>
      </x:c>
      <x:c r="J73" s="44" t="n">
        <x:f>IF(I73="","",I73-E73)</x:f>
        <x:v>2.658383391168627</x:v>
      </x:c>
      <x:c r="K73" s="45" t="n">
        <x:f>IF(I73="","",J73/E73)</x:f>
        <x:v>0.08063718034529158</x:v>
      </x:c>
      <x:c r="L73" s="36" t="str">
        <x:v>Leitura real — sequência serpentina</x:v>
      </x:c>
    </x:row>
    <x:row r="74">
      <x:c r="A74" s="40" t="n">
        <x:v>62</x:v>
      </x:c>
      <x:c r="B74" s="41" t="n">
        <x:v>1.7</x:v>
      </x:c>
      <x:c r="C74" s="41" t="n">
        <x:v>-1.25</x:v>
      </x:c>
      <x:c r="D74" s="42" t="n">
        <x:v>10.8550447063092</x:v>
      </x:c>
      <x:c r="E74" s="42" t="n">
        <x:f>$B$5-D74</x:f>
        <x:v>33.2449552936908</x:v>
      </x:c>
      <x:c r="F74" s="79" t="n">
        <x:v>33.8732</x:v>
      </x:c>
      <x:c r="G74" s="43"/>
      <x:c r="H74" s="43"/>
      <x:c r="I74" s="44" t="n">
        <x:f>IF(COUNT(F74:H74)=0,"",AVERAGE(F74:H74))</x:f>
        <x:v>33.8732</x:v>
      </x:c>
      <x:c r="J74" s="44" t="n">
        <x:f>IF(I74="","",I74-E74)</x:f>
        <x:v>0.6282447063091965</x:v>
      </x:c>
      <x:c r="K74" s="45" t="n">
        <x:f>IF(I74="","",J74/E74)</x:f>
        <x:v>0.018897444762947965</x:v>
      </x:c>
      <x:c r="L74" s="36" t="str">
        <x:v>Leitura real — sequência serpentina</x:v>
      </x:c>
    </x:row>
    <x:row r="75">
      <x:c r="A75" s="40" t="n">
        <x:v>63</x:v>
      </x:c>
      <x:c r="B75" s="41" t="n">
        <x:v>1.95</x:v>
      </x:c>
      <x:c r="C75" s="41" t="n">
        <x:v>-1.25</x:v>
      </x:c>
      <x:c r="D75" s="42" t="n">
        <x:v>10.407677218416746</x:v>
      </x:c>
      <x:c r="E75" s="42" t="n">
        <x:f>$B$5-D75</x:f>
        <x:v>33.69232278158326</x:v>
      </x:c>
      <x:c r="F75" s="79" t="n">
        <x:v>33.1491</x:v>
      </x:c>
      <x:c r="G75" s="43"/>
      <x:c r="H75" s="43"/>
      <x:c r="I75" s="44" t="n">
        <x:f>IF(COUNT(F75:H75)=0,"",AVERAGE(F75:H75))</x:f>
        <x:v>33.1491</x:v>
      </x:c>
      <x:c r="J75" s="44" t="n">
        <x:f>IF(I75="","",I75-E75)</x:f>
        <x:v>-0.5432227815832604</x:v>
      </x:c>
      <x:c r="K75" s="45" t="n">
        <x:f>IF(I75="","",J75/E75)</x:f>
        <x:v>-0.016123043374147963</x:v>
      </x:c>
      <x:c r="L75" s="36" t="str">
        <x:v>Leitura real — sequência serpentina</x:v>
      </x:c>
    </x:row>
    <x:row r="76">
      <x:c r="A76" s="40" t="n">
        <x:v>64</x:v>
      </x:c>
      <x:c r="B76" s="41" t="n">
        <x:v>2.2</x:v>
      </x:c>
      <x:c r="C76" s="41" t="n">
        <x:v>-1.25</x:v>
      </x:c>
      <x:c r="D76" s="42" t="n">
        <x:v>9.81968718713291</x:v>
      </x:c>
      <x:c r="E76" s="42" t="n">
        <x:f>$B$5-D76</x:f>
        <x:v>34.280312812867095</x:v>
      </x:c>
      <x:c r="F76" s="79" t="n">
        <x:v>34.3224</x:v>
      </x:c>
      <x:c r="G76" s="43"/>
      <x:c r="H76" s="43"/>
      <x:c r="I76" s="44" t="n">
        <x:f>IF(COUNT(F76:H76)=0,"",AVERAGE(F76:H76))</x:f>
        <x:v>34.3224</x:v>
      </x:c>
      <x:c r="J76" s="44" t="n">
        <x:f>IF(I76="","",I76-E76)</x:f>
        <x:v>0.042087187132906934</x:v>
      </x:c>
      <x:c r="K76" s="45" t="n">
        <x:f>IF(I76="","",J76/E76)</x:f>
        <x:v>0.0012277363792640053</x:v>
      </x:c>
      <x:c r="L76" s="36" t="str">
        <x:v>Leitura real — sequência serpentina</x:v>
      </x:c>
    </x:row>
    <x:row r="77">
      <x:c r="A77" s="40" t="n">
        <x:v>65</x:v>
      </x:c>
      <x:c r="B77" s="41" t="n">
        <x:v>2.45</x:v>
      </x:c>
      <x:c r="C77" s="41" t="n">
        <x:v>-1.25</x:v>
      </x:c>
      <x:c r="D77" s="42" t="n">
        <x:v>9.136972281704445</x:v>
      </x:c>
      <x:c r="E77" s="42" t="n">
        <x:f>$B$5-D77</x:f>
        <x:v>34.96302771829556</x:v>
      </x:c>
      <x:c r="F77" s="79" t="n">
        <x:v>34.1158</x:v>
      </x:c>
      <x:c r="G77" s="43"/>
      <x:c r="H77" s="43"/>
      <x:c r="I77" s="44" t="n">
        <x:f>IF(COUNT(F77:H77)=0,"",AVERAGE(F77:H77))</x:f>
        <x:v>34.1158</x:v>
      </x:c>
      <x:c r="J77" s="44" t="n">
        <x:f>IF(I77="","",I77-E77)</x:f>
        <x:v>-0.8472277182955565</x:v>
      </x:c>
      <x:c r="K77" s="45" t="n">
        <x:f>IF(I77="","",J77/E77)</x:f>
        <x:v>-0.024232103841859687</x:v>
      </x:c>
      <x:c r="L77" s="36" t="str">
        <x:v>Leitura real — sequência serpentina</x:v>
      </x:c>
    </x:row>
    <x:row r="78">
      <x:c r="A78" s="40" t="n">
        <x:v>66</x:v>
      </x:c>
      <x:c r="B78" s="41" t="n">
        <x:v>2.7</x:v>
      </x:c>
      <x:c r="C78" s="41" t="n">
        <x:v>-1.25</x:v>
      </x:c>
      <x:c r="D78" s="42" t="n">
        <x:v>8.415644093049599</x:v>
      </x:c>
      <x:c r="E78" s="42" t="n">
        <x:f>$B$5-D78</x:f>
        <x:v>35.6843559069504</x:v>
      </x:c>
      <x:c r="F78" s="79" t="n">
        <x:v>38.029</x:v>
      </x:c>
      <x:c r="G78" s="43"/>
      <x:c r="H78" s="43"/>
      <x:c r="I78" s="44" t="n">
        <x:f>IF(COUNT(F78:H78)=0,"",AVERAGE(F78:H78))</x:f>
        <x:v>38.029</x:v>
      </x:c>
      <x:c r="J78" s="44" t="n">
        <x:f>IF(I78="","",I78-E78)</x:f>
        <x:v>2.3446440930496024</x:v>
      </x:c>
      <x:c r="K78" s="45" t="n">
        <x:f>IF(I78="","",J78/E78)</x:f>
        <x:v>0.06570509775105471</x:v>
      </x:c>
      <x:c r="L78" s="36" t="str">
        <x:v>Leitura real — sequência serpentina</x:v>
      </x:c>
    </x:row>
    <x:row r="79">
      <x:c r="A79" s="40" t="n">
        <x:v>67</x:v>
      </x:c>
      <x:c r="B79" s="41" t="n">
        <x:v>2.95</x:v>
      </x:c>
      <x:c r="C79" s="41" t="n">
        <x:v>-1.25</x:v>
      </x:c>
      <x:c r="D79" s="42" t="n">
        <x:v>7.707572810864378</x:v>
      </x:c>
      <x:c r="E79" s="42" t="n">
        <x:f>$B$5-D79</x:f>
        <x:v>36.392427189135624</x:v>
      </x:c>
      <x:c r="F79" s="79" t="n">
        <x:v>35.0626</x:v>
      </x:c>
      <x:c r="G79" s="43"/>
      <x:c r="H79" s="43"/>
      <x:c r="I79" s="44" t="n">
        <x:f>IF(COUNT(F79:H79)=0,"",AVERAGE(F79:H79))</x:f>
        <x:v>35.0626</x:v>
      </x:c>
      <x:c r="J79" s="44" t="n">
        <x:f>IF(I79="","",I79-E79)</x:f>
        <x:v>-1.3298271891356208</x:v>
      </x:c>
      <x:c r="K79" s="45" t="n">
        <x:f>IF(I79="","",J79/E79)</x:f>
        <x:v>-0.036541316198129795</x:v>
      </x:c>
      <x:c r="L79" s="36" t="str">
        <x:v>Leitura real — sequência serpentina</x:v>
      </x:c>
    </x:row>
    <x:row r="80">
      <x:c r="A80" s="40" t="n">
        <x:v>68</x:v>
      </x:c>
      <x:c r="B80" s="41" t="n">
        <x:v>3.2</x:v>
      </x:c>
      <x:c r="C80" s="41" t="n">
        <x:v>-1.25</x:v>
      </x:c>
      <x:c r="D80" s="42" t="n">
        <x:v>7.048306503321333</x:v>
      </x:c>
      <x:c r="E80" s="42" t="n">
        <x:f>$B$5-D80</x:f>
        <x:v>37.051693496678666</x:v>
      </x:c>
      <x:c r="F80" s="79" t="n">
        <x:v>39.1547</x:v>
      </x:c>
      <x:c r="G80" s="43"/>
      <x:c r="H80" s="43"/>
      <x:c r="I80" s="44" t="n">
        <x:f>IF(COUNT(F80:H80)=0,"",AVERAGE(F80:H80))</x:f>
        <x:v>39.1547</x:v>
      </x:c>
      <x:c r="J80" s="44" t="n">
        <x:f>IF(I80="","",I80-E80)</x:f>
        <x:v>2.103006503321332</x:v>
      </x:c>
      <x:c r="K80" s="45" t="n">
        <x:f>IF(I80="","",J80/E80)</x:f>
        <x:v>0.05675871478073861</x:v>
      </x:c>
      <x:c r="L80" s="36" t="str">
        <x:v>Leitura real — sequência serpentina</x:v>
      </x:c>
    </x:row>
    <x:row r="81">
      <x:c r="A81" s="40" t="n">
        <x:v>69</x:v>
      </x:c>
      <x:c r="B81" s="41" t="n">
        <x:v>-0.8</x:v>
      </x:c>
      <x:c r="C81" s="41" t="n">
        <x:v>-1</x:v>
      </x:c>
      <x:c r="D81" s="42" t="n">
        <x:v>7.576222955652861</x:v>
      </x:c>
      <x:c r="E81" s="42" t="n">
        <x:f>$B$5-D81</x:f>
        <x:v>36.52377704434714</x:v>
      </x:c>
      <x:c r="F81" s="79" t="n">
        <x:v>33.639</x:v>
      </x:c>
      <x:c r="G81" s="43"/>
      <x:c r="H81" s="43"/>
      <x:c r="I81" s="44" t="n">
        <x:f>IF(COUNT(F81:H81)=0,"",AVERAGE(F81:H81))</x:f>
        <x:v>33.639</x:v>
      </x:c>
      <x:c r="J81" s="44" t="n">
        <x:f>IF(I81="","",I81-E81)</x:f>
        <x:v>-2.884777044347139</x:v>
      </x:c>
      <x:c r="K81" s="45" t="n">
        <x:f>IF(I81="","",J81/E81)</x:f>
        <x:v>-0.07898353559776813</x:v>
      </x:c>
      <x:c r="L81" s="36" t="str">
        <x:v>Leitura real — sequência serpentina</x:v>
      </x:c>
    </x:row>
    <x:row r="82">
      <x:c r="A82" s="40" t="n">
        <x:v>70</x:v>
      </x:c>
      <x:c r="B82" s="41" t="n">
        <x:v>-0.55</x:v>
      </x:c>
      <x:c r="C82" s="41" t="n">
        <x:v>-1</x:v>
      </x:c>
      <x:c r="D82" s="42" t="n">
        <x:v>8.424477781961711</x:v>
      </x:c>
      <x:c r="E82" s="42" t="n">
        <x:f>$B$5-D82</x:f>
        <x:v>35.67552221803829</x:v>
      </x:c>
      <x:c r="F82" s="79" t="n">
        <x:v>35.9228</x:v>
      </x:c>
      <x:c r="G82" s="43"/>
      <x:c r="H82" s="43"/>
      <x:c r="I82" s="44" t="n">
        <x:f>IF(COUNT(F82:H82)=0,"",AVERAGE(F82:H82))</x:f>
        <x:v>35.9228</x:v>
      </x:c>
      <x:c r="J82" s="44" t="n">
        <x:f>IF(I82="","",I82-E82)</x:f>
        <x:v>0.24727778196171357</x:v>
      </x:c>
      <x:c r="K82" s="45" t="n">
        <x:f>IF(I82="","",J82/E82)</x:f>
        <x:v>0.006931300975790195</x:v>
      </x:c>
      <x:c r="L82" s="36" t="str">
        <x:v>Leitura real — sequência serpentina</x:v>
      </x:c>
    </x:row>
    <x:row r="83">
      <x:c r="A83" s="40" t="n">
        <x:v>71</x:v>
      </x:c>
      <x:c r="B83" s="41" t="n">
        <x:v>-0.30000000000000004</x:v>
      </x:c>
      <x:c r="C83" s="41" t="n">
        <x:v>-1</x:v>
      </x:c>
      <x:c r="D83" s="42" t="n">
        <x:v>9.377533056251552</x:v>
      </x:c>
      <x:c r="E83" s="42" t="n">
        <x:f>$B$5-D83</x:f>
        <x:v>34.72246694374845</x:v>
      </x:c>
      <x:c r="F83" s="79" t="n">
        <x:v>30.8404</x:v>
      </x:c>
      <x:c r="G83" s="43"/>
      <x:c r="H83" s="43"/>
      <x:c r="I83" s="44" t="n">
        <x:f>IF(COUNT(F83:H83)=0,"",AVERAGE(F83:H83))</x:f>
        <x:v>30.8404</x:v>
      </x:c>
      <x:c r="J83" s="44" t="n">
        <x:f>IF(I83="","",I83-E83)</x:f>
        <x:v>-3.882066943748452</x:v>
      </x:c>
      <x:c r="K83" s="45" t="n">
        <x:f>IF(I83="","",J83/E83)</x:f>
        <x:v>-0.11180273999648496</x:v>
      </x:c>
      <x:c r="L83" s="36" t="str">
        <x:v>Leitura real — sequência serpentina</x:v>
      </x:c>
    </x:row>
    <x:row r="84">
      <x:c r="A84" s="40" t="n">
        <x:v>72</x:v>
      </x:c>
      <x:c r="B84" s="41" t="n">
        <x:v>-0.050000000000000044</x:v>
      </x:c>
      <x:c r="C84" s="41" t="n">
        <x:v>-1</x:v>
      </x:c>
      <x:c r="D84" s="42" t="n">
        <x:v>10.385202601401735</x:v>
      </x:c>
      <x:c r="E84" s="42" t="n">
        <x:f>$B$5-D84</x:f>
        <x:v>33.714797398598265</x:v>
      </x:c>
      <x:c r="F84" s="79" t="n">
        <x:v>32.1241</x:v>
      </x:c>
      <x:c r="G84" s="43"/>
      <x:c r="H84" s="43"/>
      <x:c r="I84" s="44" t="n">
        <x:f>IF(COUNT(F84:H84)=0,"",AVERAGE(F84:H84))</x:f>
        <x:v>32.1241</x:v>
      </x:c>
      <x:c r="J84" s="44" t="n">
        <x:f>IF(I84="","",I84-E84)</x:f>
        <x:v>-1.590697398598266</x:v>
      </x:c>
      <x:c r="K84" s="45" t="n">
        <x:f>IF(I84="","",J84/E84)</x:f>
        <x:v>-0.04718098643132885</x:v>
      </x:c>
      <x:c r="L84" s="36" t="str">
        <x:v>Leitura real — sequência serpentina</x:v>
      </x:c>
    </x:row>
    <x:row r="85">
      <x:c r="A85" s="40" t="n">
        <x:v>73</x:v>
      </x:c>
      <x:c r="B85" s="41" t="n">
        <x:v>0.19999999999999996</x:v>
      </x:c>
      <x:c r="C85" s="41" t="n">
        <x:v>-1</x:v>
      </x:c>
      <x:c r="D85" s="42" t="n">
        <x:v>11.3571879313731</x:v>
      </x:c>
      <x:c r="E85" s="42" t="n">
        <x:f>$B$5-D85</x:f>
        <x:v>32.742812068626904</x:v>
      </x:c>
      <x:c r="F85" s="79" t="n">
        <x:v>37.2011</x:v>
      </x:c>
      <x:c r="G85" s="43"/>
      <x:c r="H85" s="43"/>
      <x:c r="I85" s="44" t="n">
        <x:f>IF(COUNT(F85:H85)=0,"",AVERAGE(F85:H85))</x:f>
        <x:v>37.2011</x:v>
      </x:c>
      <x:c r="J85" s="44" t="n">
        <x:f>IF(I85="","",I85-E85)</x:f>
        <x:v>4.458287931373093</x:v>
      </x:c>
      <x:c r="K85" s="45" t="n">
        <x:f>IF(I85="","",J85/E85)</x:f>
        <x:v>0.13616081361701</x:v>
      </x:c>
      <x:c r="L85" s="36" t="str">
        <x:v>Leitura real — sequência serpentina</x:v>
      </x:c>
    </x:row>
    <x:row r="86">
      <x:c r="A86" s="40" t="n">
        <x:v>74</x:v>
      </x:c>
      <x:c r="B86" s="41" t="n">
        <x:v>0.44999999999999996</x:v>
      </x:c>
      <x:c r="C86" s="41" t="n">
        <x:v>-1</x:v>
      </x:c>
      <x:c r="D86" s="42" t="n">
        <x:v>12.192796631074254</x:v>
      </x:c>
      <x:c r="E86" s="42" t="n">
        <x:f>$B$5-D86</x:f>
        <x:v>31.90720336892575</x:v>
      </x:c>
      <x:c r="F86" s="79" t="n">
        <x:v>30.6312</x:v>
      </x:c>
      <x:c r="G86" s="43"/>
      <x:c r="H86" s="43"/>
      <x:c r="I86" s="44" t="n">
        <x:f>IF(COUNT(F86:H86)=0,"",AVERAGE(F86:H86))</x:f>
        <x:v>30.6312</x:v>
      </x:c>
      <x:c r="J86" s="44" t="n">
        <x:f>IF(I86="","",I86-E86)</x:f>
        <x:v>-1.2760033689257497</x:v>
      </x:c>
      <x:c r="K86" s="45" t="n">
        <x:f>IF(I86="","",J86/E86)</x:f>
        <x:v>-0.039991075186753676</x:v>
      </x:c>
      <x:c r="L86" s="36" t="str">
        <x:v>Leitura real — sequência serpentina</x:v>
      </x:c>
    </x:row>
    <x:row r="87">
      <x:c r="A87" s="40" t="n">
        <x:v>75</x:v>
      </x:c>
      <x:c r="B87" s="41" t="n">
        <x:v>0.7</x:v>
      </x:c>
      <x:c r="C87" s="41" t="n">
        <x:v>-1</x:v>
      </x:c>
      <x:c r="D87" s="42" t="n">
        <x:v>12.819275707035112</x:v>
      </x:c>
      <x:c r="E87" s="42" t="n">
        <x:f>$B$5-D87</x:f>
        <x:v>31.28072429296489</x:v>
      </x:c>
      <x:c r="F87" s="79" t="n">
        <x:v>33.3394</x:v>
      </x:c>
      <x:c r="G87" s="43"/>
      <x:c r="H87" s="43"/>
      <x:c r="I87" s="44" t="n">
        <x:f>IF(COUNT(F87:H87)=0,"",AVERAGE(F87:H87))</x:f>
        <x:v>33.3394</x:v>
      </x:c>
      <x:c r="J87" s="44" t="n">
        <x:f>IF(I87="","",I87-E87)</x:f>
        <x:v>2.058675707035107</x:v>
      </x:c>
      <x:c r="K87" s="45" t="n">
        <x:f>IF(I87="","",J87/E87)</x:f>
        <x:v>0.06581291685429765</x:v>
      </x:c>
      <x:c r="L87" s="36" t="str">
        <x:v>Leitura real — sequência serpentina</x:v>
      </x:c>
    </x:row>
    <x:row r="88">
      <x:c r="A88" s="40" t="n">
        <x:v>76</x:v>
      </x:c>
      <x:c r="B88" s="41" t="n">
        <x:v>0.95</x:v>
      </x:c>
      <x:c r="C88" s="41" t="n">
        <x:v>-1</x:v>
      </x:c>
      <x:c r="D88" s="42" t="n">
        <x:v>13.201920961928664</x:v>
      </x:c>
      <x:c r="E88" s="42" t="n">
        <x:f>$B$5-D88</x:f>
        <x:v>30.898079038071337</x:v>
      </x:c>
      <x:c r="F88" s="79" t="n">
        <x:v>31.6598</x:v>
      </x:c>
      <x:c r="G88" s="43"/>
      <x:c r="H88" s="43"/>
      <x:c r="I88" s="44" t="n">
        <x:f>IF(COUNT(F88:H88)=0,"",AVERAGE(F88:H88))</x:f>
        <x:v>31.6598</x:v>
      </x:c>
      <x:c r="J88" s="44" t="n">
        <x:f>IF(I88="","",I88-E88)</x:f>
        <x:v>0.7617209619286633</x:v>
      </x:c>
      <x:c r="K88" s="45" t="n">
        <x:f>IF(I88="","",J88/E88)</x:f>
        <x:v>0.0246526964019382</x:v>
      </x:c>
      <x:c r="L88" s="36" t="str">
        <x:v>Leitura real — sequência serpentina</x:v>
      </x:c>
    </x:row>
    <x:row r="89">
      <x:c r="A89" s="40" t="n">
        <x:v>77</x:v>
      </x:c>
      <x:c r="B89" s="41" t="n">
        <x:v>1.2</x:v>
      </x:c>
      <x:c r="C89" s="41" t="n">
        <x:v>-1</x:v>
      </x:c>
      <x:c r="D89" s="42" t="n">
        <x:v>13.33004585809023</x:v>
      </x:c>
      <x:c r="E89" s="42" t="n">
        <x:f>$B$5-D89</x:f>
        <x:v>30.76995414190977</x:v>
      </x:c>
      <x:c r="F89" s="79" t="n">
        <x:v>30.3722</x:v>
      </x:c>
      <x:c r="G89" s="43"/>
      <x:c r="H89" s="43"/>
      <x:c r="I89" s="44" t="n">
        <x:f>IF(COUNT(F89:H89)=0,"",AVERAGE(F89:H89))</x:f>
        <x:v>30.3722</x:v>
      </x:c>
      <x:c r="J89" s="44" t="n">
        <x:f>IF(I89="","",I89-E89)</x:f>
        <x:v>-0.3977541419097719</x:v>
      </x:c>
      <x:c r="K89" s="45" t="n">
        <x:f>IF(I89="","",J89/E89)</x:f>
        <x:v>-0.012926705710231027</x:v>
      </x:c>
      <x:c r="L89" s="36" t="str">
        <x:v>Leitura real — sequência serpentina</x:v>
      </x:c>
    </x:row>
    <x:row r="90">
      <x:c r="A90" s="40" t="n">
        <x:v>78</x:v>
      </x:c>
      <x:c r="B90" s="41" t="n">
        <x:v>1.45</x:v>
      </x:c>
      <x:c r="C90" s="41" t="n">
        <x:v>-1</x:v>
      </x:c>
      <x:c r="D90" s="42" t="n">
        <x:v>13.201920961928664</x:v>
      </x:c>
      <x:c r="E90" s="42" t="n">
        <x:f>$B$5-D90</x:f>
        <x:v>30.898079038071337</x:v>
      </x:c>
      <x:c r="F90" s="79" t="n">
        <x:v>29.5478</x:v>
      </x:c>
      <x:c r="G90" s="43"/>
      <x:c r="H90" s="43"/>
      <x:c r="I90" s="44" t="n">
        <x:f>IF(COUNT(F90:H90)=0,"",AVERAGE(F90:H90))</x:f>
        <x:v>29.5478</x:v>
      </x:c>
      <x:c r="J90" s="44" t="n">
        <x:f>IF(I90="","",I90-E90)</x:f>
        <x:v>-1.3502790380713385</x:v>
      </x:c>
      <x:c r="K90" s="45" t="n">
        <x:f>IF(I90="","",J90/E90)</x:f>
        <x:v>-0.04370106751321273</x:v>
      </x:c>
      <x:c r="L90" s="36" t="str">
        <x:v>Leitura real — sequência serpentina</x:v>
      </x:c>
    </x:row>
    <x:row r="91">
      <x:c r="A91" s="40" t="n">
        <x:v>79</x:v>
      </x:c>
      <x:c r="B91" s="41" t="n">
        <x:v>1.7</x:v>
      </x:c>
      <x:c r="C91" s="41" t="n">
        <x:v>-1</x:v>
      </x:c>
      <x:c r="D91" s="42" t="n">
        <x:v>12.819275707035112</x:v>
      </x:c>
      <x:c r="E91" s="42" t="n">
        <x:f>$B$5-D91</x:f>
        <x:v>31.28072429296489</x:v>
      </x:c>
      <x:c r="F91" s="79" t="n">
        <x:v>33.6879</x:v>
      </x:c>
      <x:c r="G91" s="43"/>
      <x:c r="H91" s="43"/>
      <x:c r="I91" s="44" t="n">
        <x:f>IF(COUNT(F91:H91)=0,"",AVERAGE(F91:H91))</x:f>
        <x:v>33.6879</x:v>
      </x:c>
      <x:c r="J91" s="44" t="n">
        <x:f>IF(I91="","",I91-E91)</x:f>
        <x:v>2.4071757070351083</x:v>
      </x:c>
      <x:c r="K91" s="45" t="n">
        <x:f>IF(I91="","",J91/E91)</x:f>
        <x:v>0.07695396322956907</x:v>
      </x:c>
      <x:c r="L91" s="36" t="str">
        <x:v>Leitura real — sequência serpentina</x:v>
      </x:c>
    </x:row>
    <x:row r="92">
      <x:c r="A92" s="40" t="n">
        <x:v>80</x:v>
      </x:c>
      <x:c r="B92" s="41" t="n">
        <x:v>1.95</x:v>
      </x:c>
      <x:c r="C92" s="41" t="n">
        <x:v>-1</x:v>
      </x:c>
      <x:c r="D92" s="42" t="n">
        <x:v>12.192796631074254</x:v>
      </x:c>
      <x:c r="E92" s="42" t="n">
        <x:f>$B$5-D92</x:f>
        <x:v>31.90720336892575</x:v>
      </x:c>
      <x:c r="F92" s="79" t="n">
        <x:v>31.4716</x:v>
      </x:c>
      <x:c r="G92" s="43"/>
      <x:c r="H92" s="43"/>
      <x:c r="I92" s="44" t="n">
        <x:f>IF(COUNT(F92:H92)=0,"",AVERAGE(F92:H92))</x:f>
        <x:v>31.4716</x:v>
      </x:c>
      <x:c r="J92" s="44" t="n">
        <x:f>IF(I92="","",I92-E92)</x:f>
        <x:v>-0.4356033689257508</x:v>
      </x:c>
      <x:c r="K92" s="45" t="n">
        <x:f>IF(I92="","",J92/E92)</x:f>
        <x:v>-0.01365219520774367</x:v>
      </x:c>
      <x:c r="L92" s="36" t="str">
        <x:v>Leitura real — sequência serpentina</x:v>
      </x:c>
    </x:row>
    <x:row r="93">
      <x:c r="A93" s="40" t="n">
        <x:v>81</x:v>
      </x:c>
      <x:c r="B93" s="41" t="n">
        <x:v>2.2</x:v>
      </x:c>
      <x:c r="C93" s="41" t="n">
        <x:v>-1</x:v>
      </x:c>
      <x:c r="D93" s="42" t="n">
        <x:v>11.3571879313731</x:v>
      </x:c>
      <x:c r="E93" s="42" t="n">
        <x:f>$B$5-D93</x:f>
        <x:v>32.742812068626904</x:v>
      </x:c>
      <x:c r="F93" s="79" t="n">
        <x:v>35.7731</x:v>
      </x:c>
      <x:c r="G93" s="43"/>
      <x:c r="H93" s="43"/>
      <x:c r="I93" s="44" t="n">
        <x:f>IF(COUNT(F93:H93)=0,"",AVERAGE(F93:H93))</x:f>
        <x:v>35.7731</x:v>
      </x:c>
      <x:c r="J93" s="44" t="n">
        <x:f>IF(I93="","",I93-E93)</x:f>
        <x:v>3.0302879313730955</x:v>
      </x:c>
      <x:c r="K93" s="45" t="n">
        <x:f>IF(I93="","",J93/E93)</x:f>
        <x:v>0.09254818813429341</x:v>
      </x:c>
      <x:c r="L93" s="36" t="str">
        <x:v>Leitura real — sequência serpentina</x:v>
      </x:c>
    </x:row>
    <x:row r="94">
      <x:c r="A94" s="40" t="n">
        <x:v>82</x:v>
      </x:c>
      <x:c r="B94" s="41" t="n">
        <x:v>2.45</x:v>
      </x:c>
      <x:c r="C94" s="41" t="n">
        <x:v>-1</x:v>
      </x:c>
      <x:c r="D94" s="42" t="n">
        <x:v>10.385202601401733</x:v>
      </x:c>
      <x:c r="E94" s="42" t="n">
        <x:f>$B$5-D94</x:f>
        <x:v>33.714797398598265</x:v>
      </x:c>
      <x:c r="F94" s="79" t="n">
        <x:v>32.1459</x:v>
      </x:c>
      <x:c r="G94" s="43"/>
      <x:c r="H94" s="43"/>
      <x:c r="I94" s="44" t="n">
        <x:f>IF(COUNT(F94:H94)=0,"",AVERAGE(F94:H94))</x:f>
        <x:v>32.1459</x:v>
      </x:c>
      <x:c r="J94" s="44" t="n">
        <x:f>IF(I94="","",I94-E94)</x:f>
        <x:v>-1.568897398598267</x:v>
      </x:c>
      <x:c r="K94" s="45" t="n">
        <x:f>IF(I94="","",J94/E94)</x:f>
        <x:v>-0.04653438607534079</x:v>
      </x:c>
      <x:c r="L94" s="36" t="str">
        <x:v>Leitura real — sequência serpentina</x:v>
      </x:c>
    </x:row>
    <x:row r="95">
      <x:c r="A95" s="40" t="n">
        <x:v>83</x:v>
      </x:c>
      <x:c r="B95" s="41" t="n">
        <x:v>2.7</x:v>
      </x:c>
      <x:c r="C95" s="41" t="n">
        <x:v>-1</x:v>
      </x:c>
      <x:c r="D95" s="42" t="n">
        <x:v>9.37753305625155</x:v>
      </x:c>
      <x:c r="E95" s="42" t="n">
        <x:f>$B$5-D95</x:f>
        <x:v>34.72246694374845</x:v>
      </x:c>
      <x:c r="F95" s="79" t="n">
        <x:v>34.7957</x:v>
      </x:c>
      <x:c r="G95" s="43"/>
      <x:c r="H95" s="43"/>
      <x:c r="I95" s="44" t="n">
        <x:f>IF(COUNT(F95:H95)=0,"",AVERAGE(F95:H95))</x:f>
        <x:v>34.7957</x:v>
      </x:c>
      <x:c r="J95" s="44" t="n">
        <x:f>IF(I95="","",I95-E95)</x:f>
        <x:v>0.07323305625154575</x:v>
      </x:c>
      <x:c r="K95" s="45" t="n">
        <x:f>IF(I95="","",J95/E95)</x:f>
        <x:v>0.002109097155170044</x:v>
      </x:c>
      <x:c r="L95" s="36" t="str">
        <x:v>Leitura real — sequência serpentina</x:v>
      </x:c>
    </x:row>
    <x:row r="96">
      <x:c r="A96" s="40" t="n">
        <x:v>84</x:v>
      </x:c>
      <x:c r="B96" s="41" t="n">
        <x:v>2.95</x:v>
      </x:c>
      <x:c r="C96" s="41" t="n">
        <x:v>-1</x:v>
      </x:c>
      <x:c r="D96" s="42" t="n">
        <x:v>8.42447778196171</x:v>
      </x:c>
      <x:c r="E96" s="42" t="n">
        <x:f>$B$5-D96</x:f>
        <x:v>35.675522218038296</x:v>
      </x:c>
      <x:c r="F96" s="79" t="n">
        <x:v>36.6718</x:v>
      </x:c>
      <x:c r="G96" s="43"/>
      <x:c r="H96" s="43"/>
      <x:c r="I96" s="44" t="n">
        <x:f>IF(COUNT(F96:H96)=0,"",AVERAGE(F96:H96))</x:f>
        <x:v>36.6718</x:v>
      </x:c>
      <x:c r="J96" s="44" t="n">
        <x:f>IF(I96="","",I96-E96)</x:f>
        <x:v>0.9962777819617017</x:v>
      </x:c>
      <x:c r="K96" s="45" t="n">
        <x:f>IF(I96="","",J96/E96)</x:f>
        <x:v>0.027926088253810134</x:v>
      </x:c>
      <x:c r="L96" s="36" t="str">
        <x:v>Leitura real — sequência serpentina</x:v>
      </x:c>
    </x:row>
    <x:row r="97">
      <x:c r="A97" s="40" t="n">
        <x:v>85</x:v>
      </x:c>
      <x:c r="B97" s="41" t="n">
        <x:v>3.2</x:v>
      </x:c>
      <x:c r="C97" s="41" t="n">
        <x:v>-1</x:v>
      </x:c>
      <x:c r="D97" s="42" t="n">
        <x:v>7.5762229556528595</x:v>
      </x:c>
      <x:c r="E97" s="42" t="n">
        <x:f>$B$5-D97</x:f>
        <x:v>36.52377704434714</x:v>
      </x:c>
      <x:c r="F97" s="79" t="n">
        <x:v>37.3531</x:v>
      </x:c>
      <x:c r="G97" s="43"/>
      <x:c r="H97" s="43"/>
      <x:c r="I97" s="44" t="n">
        <x:f>IF(COUNT(F97:H97)=0,"",AVERAGE(F97:H97))</x:f>
        <x:v>37.3531</x:v>
      </x:c>
      <x:c r="J97" s="44" t="n">
        <x:f>IF(I97="","",I97-E97)</x:f>
        <x:v>0.8293229556528559</x:v>
      </x:c>
      <x:c r="K97" s="45" t="n">
        <x:f>IF(I97="","",J97/E97)</x:f>
        <x:v>0.022706385340319338</x:v>
      </x:c>
      <x:c r="L97" s="36" t="str">
        <x:v>Leitura real — sequência serpentina</x:v>
      </x:c>
    </x:row>
    <x:row r="98">
      <x:c r="A98" s="40" t="n">
        <x:v>86</x:v>
      </x:c>
      <x:c r="B98" s="41" t="n">
        <x:v>-0.8</x:v>
      </x:c>
      <x:c r="C98" s="41" t="n">
        <x:v>-0.75</x:v>
      </x:c>
      <x:c r="D98" s="42" t="n">
        <x:v>8.113555283120983</x:v>
      </x:c>
      <x:c r="E98" s="42" t="n">
        <x:f>$B$5-D98</x:f>
        <x:v>35.98644471687902</x:v>
      </x:c>
      <x:c r="F98" s="79" t="n">
        <x:v>36.3307</x:v>
      </x:c>
      <x:c r="G98" s="43"/>
      <x:c r="H98" s="43"/>
      <x:c r="I98" s="44" t="n">
        <x:f>IF(COUNT(F98:H98)=0,"",AVERAGE(F98:H98))</x:f>
        <x:v>36.3307</x:v>
      </x:c>
      <x:c r="J98" s="44" t="n">
        <x:f>IF(I98="","",I98-E98)</x:f>
        <x:v>0.3442552831209795</x:v>
      </x:c>
      <x:c r="K98" s="45" t="n">
        <x:f>IF(I98="","",J98/E98)</x:f>
        <x:v>0.00956624878699147</x:v>
      </x:c>
      <x:c r="L98" s="36" t="str">
        <x:v>Leitura real — sequência serpentina</x:v>
      </x:c>
    </x:row>
    <x:row r="99">
      <x:c r="A99" s="40" t="n">
        <x:v>87</x:v>
      </x:c>
      <x:c r="B99" s="41" t="n">
        <x:v>-0.55</x:v>
      </x:c>
      <x:c r="C99" s="41" t="n">
        <x:v>-0.75</x:v>
      </x:c>
      <x:c r="D99" s="42" t="n">
        <x:v>9.211680258186956</x:v>
      </x:c>
      <x:c r="E99" s="42" t="n">
        <x:f>$B$5-D99</x:f>
        <x:v>34.88831974181305</x:v>
      </x:c>
      <x:c r="F99" s="79" t="n">
        <x:v>31.0187</x:v>
      </x:c>
      <x:c r="G99" s="43"/>
      <x:c r="H99" s="43"/>
      <x:c r="I99" s="44" t="n">
        <x:f>IF(COUNT(F99:H99)=0,"",AVERAGE(F99:H99))</x:f>
        <x:v>31.0187</x:v>
      </x:c>
      <x:c r="J99" s="44" t="n">
        <x:f>IF(I99="","",I99-E99)</x:f>
        <x:v>-3.8696197418130502</x:v>
      </x:c>
      <x:c r="K99" s="45" t="n">
        <x:f>IF(I99="","",J99/E99)</x:f>
        <x:v>-0.11091447712156162</x:v>
      </x:c>
      <x:c r="L99" s="36" t="str">
        <x:v>Leitura real — sequência serpentina</x:v>
      </x:c>
    </x:row>
    <x:row r="100">
      <x:c r="A100" s="40" t="n">
        <x:v>88</x:v>
      </x:c>
      <x:c r="B100" s="41" t="n">
        <x:v>-0.30000000000000004</x:v>
      </x:c>
      <x:c r="C100" s="41" t="n">
        <x:v>-0.75</x:v>
      </x:c>
      <x:c r="D100" s="42" t="n">
        <x:v>10.53001756690705</x:v>
      </x:c>
      <x:c r="E100" s="42" t="n">
        <x:f>$B$5-D100</x:f>
        <x:v>33.56998243309295</x:v>
      </x:c>
      <x:c r="F100" s="79" t="n">
        <x:v>31.7197</x:v>
      </x:c>
      <x:c r="G100" s="43"/>
      <x:c r="H100" s="43"/>
      <x:c r="I100" s="44" t="n">
        <x:f>IF(COUNT(F100:H100)=0,"",AVERAGE(F100:H100))</x:f>
        <x:v>31.7197</x:v>
      </x:c>
      <x:c r="J100" s="44" t="n">
        <x:f>IF(I100="","",I100-E100)</x:f>
        <x:v>-1.8502824330929535</x:v>
      </x:c>
      <x:c r="K100" s="45" t="n">
        <x:f>IF(I100="","",J100/E100)</x:f>
        <x:v>-0.05511717013199755</x:v>
      </x:c>
      <x:c r="L100" s="36" t="str">
        <x:v>Leitura real — sequência serpentina</x:v>
      </x:c>
    </x:row>
    <x:row r="101">
      <x:c r="A101" s="40" t="n">
        <x:v>89</x:v>
      </x:c>
      <x:c r="B101" s="41" t="n">
        <x:v>-0.050000000000000044</x:v>
      </x:c>
      <x:c r="C101" s="41" t="n">
        <x:v>-0.75</x:v>
      </x:c>
      <x:c r="D101" s="42" t="n">
        <x:v>12.007332273033272</x:v>
      </x:c>
      <x:c r="E101" s="42" t="n">
        <x:f>$B$5-D101</x:f>
        <x:v>32.09266772696673</x:v>
      </x:c>
      <x:c r="F101" s="79" t="n">
        <x:v>30.2676</x:v>
      </x:c>
      <x:c r="G101" s="43"/>
      <x:c r="H101" s="43"/>
      <x:c r="I101" s="44" t="n">
        <x:f>IF(COUNT(F101:H101)=0,"",AVERAGE(F101:H101))</x:f>
        <x:v>30.2676</x:v>
      </x:c>
      <x:c r="J101" s="44" t="n">
        <x:f>IF(I101="","",I101-E101)</x:f>
        <x:v>-1.8250677269667293</x:v>
      </x:c>
      <x:c r="K101" s="45" t="n">
        <x:f>IF(I101="","",J101/E101)</x:f>
        <x:v>-0.0568686823574086</x:v>
      </x:c>
      <x:c r="L101" s="36" t="str">
        <x:v>Leitura real — sequência serpentina</x:v>
      </x:c>
    </x:row>
    <x:row r="102">
      <x:c r="A102" s="40" t="n">
        <x:v>90</x:v>
      </x:c>
      <x:c r="B102" s="41" t="n">
        <x:v>0.19999999999999996</x:v>
      </x:c>
      <x:c r="C102" s="41" t="n">
        <x:v>-0.75</x:v>
      </x:c>
      <x:c r="D102" s="42" t="n">
        <x:v>13.466466084127902</x:v>
      </x:c>
      <x:c r="E102" s="42" t="n">
        <x:f>$B$5-D102</x:f>
        <x:v>30.6335339158721</x:v>
      </x:c>
      <x:c r="F102" s="79" t="n">
        <x:v>31.3673</x:v>
      </x:c>
      <x:c r="G102" s="43"/>
      <x:c r="H102" s="43"/>
      <x:c r="I102" s="44" t="n">
        <x:f>IF(COUNT(F102:H102)=0,"",AVERAGE(F102:H102))</x:f>
        <x:v>31.3673</x:v>
      </x:c>
      <x:c r="J102" s="44" t="n">
        <x:f>IF(I102="","",I102-E102)</x:f>
        <x:v>0.7337660841279003</x:v>
      </x:c>
      <x:c r="K102" s="45" t="n">
        <x:f>IF(I102="","",J102/E102)</x:f>
        <x:v>0.0239530341534548</x:v>
      </x:c>
      <x:c r="L102" s="36" t="str">
        <x:v>Leitura real — sequência serpentina</x:v>
      </x:c>
    </x:row>
    <x:row r="103">
      <x:c r="A103" s="40" t="n">
        <x:v>91</x:v>
      </x:c>
      <x:c r="B103" s="41" t="n">
        <x:v>0.44999999999999996</x:v>
      </x:c>
      <x:c r="C103" s="41" t="n">
        <x:v>-0.75</x:v>
      </x:c>
      <x:c r="D103" s="42" t="n">
        <x:v>14.698325656175395</x:v>
      </x:c>
      <x:c r="E103" s="42" t="n">
        <x:f>$B$5-D103</x:f>
        <x:v>29.401674343824606</x:v>
      </x:c>
      <x:c r="F103" s="79" t="n">
        <x:v>28.9284</x:v>
      </x:c>
      <x:c r="G103" s="43"/>
      <x:c r="H103" s="43"/>
      <x:c r="I103" s="44" t="n">
        <x:f>IF(COUNT(F103:H103)=0,"",AVERAGE(F103:H103))</x:f>
        <x:v>28.9284</x:v>
      </x:c>
      <x:c r="J103" s="44" t="n">
        <x:f>IF(I103="","",I103-E103)</x:f>
        <x:v>-0.4732743438246061</x:v>
      </x:c>
      <x:c r="K103" s="45" t="n">
        <x:f>IF(I103="","",J103/E103)</x:f>
        <x:v>-0.016096850073574483</x:v>
      </x:c>
      <x:c r="L103" s="36" t="str">
        <x:v>Leitura real — sequência serpentina</x:v>
      </x:c>
    </x:row>
    <x:row r="104">
      <x:c r="A104" s="40" t="n">
        <x:v>92</x:v>
      </x:c>
      <x:c r="B104" s="41" t="n">
        <x:v>0.7</x:v>
      </x:c>
      <x:c r="C104" s="41" t="n">
        <x:v>-0.75</x:v>
      </x:c>
      <x:c r="D104" s="42" t="n">
        <x:v>15.587205795191974</x:v>
      </x:c>
      <x:c r="E104" s="42" t="n">
        <x:f>$B$5-D104</x:f>
        <x:v>28.512794204808028</x:v>
      </x:c>
      <x:c r="F104" s="79" t="n">
        <x:v>32.3087</x:v>
      </x:c>
      <x:c r="G104" s="43"/>
      <x:c r="H104" s="43"/>
      <x:c r="I104" s="44" t="n">
        <x:f>IF(COUNT(F104:H104)=0,"",AVERAGE(F104:H104))</x:f>
        <x:v>32.3087</x:v>
      </x:c>
      <x:c r="J104" s="44" t="n">
        <x:f>IF(I104="","",I104-E104)</x:f>
        <x:v>3.795905795191974</x:v>
      </x:c>
      <x:c r="K104" s="45" t="n">
        <x:f>IF(I104="","",J104/E104)</x:f>
        <x:v>0.13312991241496358</x:v>
      </x:c>
      <x:c r="L104" s="36" t="str">
        <x:v>Leitura real — sequência serpentina</x:v>
      </x:c>
    </x:row>
    <x:row r="105">
      <x:c r="A105" s="40" t="n">
        <x:v>93</x:v>
      </x:c>
      <x:c r="B105" s="41" t="n">
        <x:v>0.95</x:v>
      </x:c>
      <x:c r="C105" s="41" t="n">
        <x:v>-0.75</x:v>
      </x:c>
      <x:c r="D105" s="42" t="n">
        <x:v>16.11193258193776</x:v>
      </x:c>
      <x:c r="E105" s="42" t="n">
        <x:f>$B$5-D105</x:f>
        <x:v>27.98806741806224</x:v>
      </x:c>
      <x:c r="F105" s="79" t="n">
        <x:v>28.3639</x:v>
      </x:c>
      <x:c r="G105" s="43"/>
      <x:c r="H105" s="43"/>
      <x:c r="I105" s="44" t="n">
        <x:f>IF(COUNT(F105:H105)=0,"",AVERAGE(F105:H105))</x:f>
        <x:v>28.3639</x:v>
      </x:c>
      <x:c r="J105" s="44" t="n">
        <x:f>IF(I105="","",I105-E105)</x:f>
        <x:v>0.37583258193776103</x:v>
      </x:c>
      <x:c r="K105" s="45" t="n">
        <x:f>IF(I105="","",J105/E105)</x:f>
        <x:v>0.013428314871616165</x:v>
      </x:c>
      <x:c r="L105" s="36" t="str">
        <x:v>Leitura real — sequência serpentina</x:v>
      </x:c>
    </x:row>
    <x:row r="106">
      <x:c r="A106" s="40" t="n">
        <x:v>94</x:v>
      </x:c>
      <x:c r="B106" s="41" t="n">
        <x:v>1.2</x:v>
      </x:c>
      <x:c r="C106" s="41" t="n">
        <x:v>-0.75</x:v>
      </x:c>
      <x:c r="D106" s="42" t="n">
        <x:v>16.2844129326416</x:v>
      </x:c>
      <x:c r="E106" s="42" t="n">
        <x:f>$B$5-D106</x:f>
        <x:v>27.8155870673584</x:v>
      </x:c>
      <x:c r="F106" s="79" t="n">
        <x:v>25.7527</x:v>
      </x:c>
      <x:c r="G106" s="43"/>
      <x:c r="H106" s="43"/>
      <x:c r="I106" s="44" t="n">
        <x:f>IF(COUNT(F106:H106)=0,"",AVERAGE(F106:H106))</x:f>
        <x:v>25.7527</x:v>
      </x:c>
      <x:c r="J106" s="44" t="n">
        <x:f>IF(I106="","",I106-E106)</x:f>
        <x:v>-2.0628870673583997</x:v>
      </x:c>
      <x:c r="K106" s="45" t="n">
        <x:f>IF(I106="","",J106/E106)</x:f>
        <x:v>-0.07416298862802713</x:v>
      </x:c>
      <x:c r="L106" s="36" t="str">
        <x:v>Leitura real — sequência serpentina</x:v>
      </x:c>
    </x:row>
    <x:row r="107">
      <x:c r="A107" s="40" t="n">
        <x:v>95</x:v>
      </x:c>
      <x:c r="B107" s="41" t="n">
        <x:v>1.45</x:v>
      </x:c>
      <x:c r="C107" s="41" t="n">
        <x:v>-0.75</x:v>
      </x:c>
      <x:c r="D107" s="42" t="n">
        <x:v>16.11193258193776</x:v>
      </x:c>
      <x:c r="E107" s="42" t="n">
        <x:f>$B$5-D107</x:f>
        <x:v>27.98806741806224</x:v>
      </x:c>
      <x:c r="F107" s="79" t="n">
        <x:v>24.9819</x:v>
      </x:c>
      <x:c r="G107" s="43"/>
      <x:c r="H107" s="43"/>
      <x:c r="I107" s="44" t="n">
        <x:f>IF(COUNT(F107:H107)=0,"",AVERAGE(F107:H107))</x:f>
        <x:v>24.9819</x:v>
      </x:c>
      <x:c r="J107" s="44" t="n">
        <x:f>IF(I107="","",I107-E107)</x:f>
        <x:v>-3.0061674180622404</x:v>
      </x:c>
      <x:c r="K107" s="45" t="n">
        <x:f>IF(I107="","",J107/E107)</x:f>
        <x:v>-0.10740889583973902</x:v>
      </x:c>
      <x:c r="L107" s="36" t="str">
        <x:v>Leitura real — sequência serpentina</x:v>
      </x:c>
    </x:row>
    <x:row r="108">
      <x:c r="A108" s="40" t="n">
        <x:v>96</x:v>
      </x:c>
      <x:c r="B108" s="41" t="n">
        <x:v>1.7</x:v>
      </x:c>
      <x:c r="C108" s="41" t="n">
        <x:v>-0.75</x:v>
      </x:c>
      <x:c r="D108" s="42" t="n">
        <x:v>15.587205795191974</x:v>
      </x:c>
      <x:c r="E108" s="42" t="n">
        <x:f>$B$5-D108</x:f>
        <x:v>28.512794204808028</x:v>
      </x:c>
      <x:c r="F108" s="79" t="n">
        <x:v>25.161</x:v>
      </x:c>
      <x:c r="G108" s="43"/>
      <x:c r="H108" s="43"/>
      <x:c r="I108" s="44" t="n">
        <x:f>IF(COUNT(F108:H108)=0,"",AVERAGE(F108:H108))</x:f>
        <x:v>25.161</x:v>
      </x:c>
      <x:c r="J108" s="44" t="n">
        <x:f>IF(I108="","",I108-E108)</x:f>
        <x:v>-3.3517942048080265</x:v>
      </x:c>
      <x:c r="K108" s="45" t="n">
        <x:f>IF(I108="","",J108/E108)</x:f>
        <x:v>-0.11755404190596036</x:v>
      </x:c>
      <x:c r="L108" s="36" t="str">
        <x:v>Leitura real — sequência serpentina</x:v>
      </x:c>
    </x:row>
    <x:row r="109">
      <x:c r="A109" s="40" t="n">
        <x:v>97</x:v>
      </x:c>
      <x:c r="B109" s="41" t="n">
        <x:v>1.95</x:v>
      </x:c>
      <x:c r="C109" s="41" t="n">
        <x:v>-0.75</x:v>
      </x:c>
      <x:c r="D109" s="42" t="n">
        <x:v>14.698325656175395</x:v>
      </x:c>
      <x:c r="E109" s="42" t="n">
        <x:f>$B$5-D109</x:f>
        <x:v>29.401674343824606</x:v>
      </x:c>
      <x:c r="F109" s="79" t="n">
        <x:v>30.5708</x:v>
      </x:c>
      <x:c r="G109" s="43"/>
      <x:c r="H109" s="43"/>
      <x:c r="I109" s="44" t="n">
        <x:f>IF(COUNT(F109:H109)=0,"",AVERAGE(F109:H109))</x:f>
        <x:v>30.5708</x:v>
      </x:c>
      <x:c r="J109" s="44" t="n">
        <x:f>IF(I109="","",I109-E109)</x:f>
        <x:v>1.1691256561753924</x:v>
      </x:c>
      <x:c r="K109" s="45" t="n">
        <x:f>IF(I109="","",J109/E109)</x:f>
        <x:v>0.03976391420786382</x:v>
      </x:c>
      <x:c r="L109" s="36" t="str">
        <x:v>Leitura real — sequência serpentina</x:v>
      </x:c>
    </x:row>
    <x:row r="110">
      <x:c r="A110" s="40" t="n">
        <x:v>98</x:v>
      </x:c>
      <x:c r="B110" s="41" t="n">
        <x:v>2.2</x:v>
      </x:c>
      <x:c r="C110" s="41" t="n">
        <x:v>-0.75</x:v>
      </x:c>
      <x:c r="D110" s="42" t="n">
        <x:v>13.466466084127898</x:v>
      </x:c>
      <x:c r="E110" s="42" t="n">
        <x:f>$B$5-D110</x:f>
        <x:v>30.633533915872103</x:v>
      </x:c>
      <x:c r="F110" s="79" t="n">
        <x:v>32.0005</x:v>
      </x:c>
      <x:c r="G110" s="43"/>
      <x:c r="H110" s="43"/>
      <x:c r="I110" s="44" t="n">
        <x:f>IF(COUNT(F110:H110)=0,"",AVERAGE(F110:H110))</x:f>
        <x:v>32.0005</x:v>
      </x:c>
      <x:c r="J110" s="44" t="n">
        <x:f>IF(I110="","",I110-E110)</x:f>
        <x:v>1.366966084127899</x:v>
      </x:c>
      <x:c r="K110" s="45" t="n">
        <x:f>IF(I110="","",J110/E110)</x:f>
        <x:v>0.044623192605918544</x:v>
      </x:c>
      <x:c r="L110" s="36" t="str">
        <x:v>Leitura real — sequência serpentina</x:v>
      </x:c>
    </x:row>
    <x:row r="111">
      <x:c r="A111" s="40" t="n">
        <x:v>99</x:v>
      </x:c>
      <x:c r="B111" s="41" t="n">
        <x:v>2.45</x:v>
      </x:c>
      <x:c r="C111" s="41" t="n">
        <x:v>-0.75</x:v>
      </x:c>
      <x:c r="D111" s="42" t="n">
        <x:v>12.007332273033272</x:v>
      </x:c>
      <x:c r="E111" s="42" t="n">
        <x:f>$B$5-D111</x:f>
        <x:v>32.09266772696673</x:v>
      </x:c>
      <x:c r="F111" s="79" t="n">
        <x:v>30.4529</x:v>
      </x:c>
      <x:c r="G111" s="43"/>
      <x:c r="H111" s="43"/>
      <x:c r="I111" s="44" t="n">
        <x:f>IF(COUNT(F111:H111)=0,"",AVERAGE(F111:H111))</x:f>
        <x:v>30.4529</x:v>
      </x:c>
      <x:c r="J111" s="44" t="n">
        <x:f>IF(I111="","",I111-E111)</x:f>
        <x:v>-1.6397677269667312</x:v>
      </x:c>
      <x:c r="K111" s="45" t="n">
        <x:f>IF(I111="","",J111/E111)</x:f>
        <x:v>-0.051094777813963786</x:v>
      </x:c>
      <x:c r="L111" s="36" t="str">
        <x:v>Leitura real — sequência serpentina</x:v>
      </x:c>
    </x:row>
    <x:row r="112">
      <x:c r="A112" s="40" t="n">
        <x:v>100</x:v>
      </x:c>
      <x:c r="B112" s="41" t="n">
        <x:v>2.7</x:v>
      </x:c>
      <x:c r="C112" s="41" t="n">
        <x:v>-0.75</x:v>
      </x:c>
      <x:c r="D112" s="42" t="n">
        <x:v>10.530017566907048</x:v>
      </x:c>
      <x:c r="E112" s="42" t="n">
        <x:f>$B$5-D112</x:f>
        <x:v>33.56998243309295</x:v>
      </x:c>
      <x:c r="F112" s="79" t="n">
        <x:v>33.2043</x:v>
      </x:c>
      <x:c r="G112" s="43"/>
      <x:c r="H112" s="43"/>
      <x:c r="I112" s="44" t="n">
        <x:f>IF(COUNT(F112:H112)=0,"",AVERAGE(F112:H112))</x:f>
        <x:v>33.2043</x:v>
      </x:c>
      <x:c r="J112" s="44" t="n">
        <x:f>IF(I112="","",I112-E112)</x:f>
        <x:v>-0.36568243309294957</x:v>
      </x:c>
      <x:c r="K112" s="45" t="n">
        <x:f>IF(I112="","",J112/E112)</x:f>
        <x:v>-0.010893137457601511</x:v>
      </x:c>
      <x:c r="L112" s="36" t="str">
        <x:v>Leitura real — sequência serpentina</x:v>
      </x:c>
    </x:row>
    <x:row r="113">
      <x:c r="A113" s="40" t="n">
        <x:v>101</x:v>
      </x:c>
      <x:c r="B113" s="41" t="n">
        <x:v>2.95</x:v>
      </x:c>
      <x:c r="C113" s="41" t="n">
        <x:v>-0.75</x:v>
      </x:c>
      <x:c r="D113" s="42" t="n">
        <x:v>9.211680258186956</x:v>
      </x:c>
      <x:c r="E113" s="42" t="n">
        <x:f>$B$5-D113</x:f>
        <x:v>34.88831974181305</x:v>
      </x:c>
      <x:c r="F113" s="79" t="n">
        <x:v>33.473</x:v>
      </x:c>
      <x:c r="G113" s="43"/>
      <x:c r="H113" s="43"/>
      <x:c r="I113" s="44" t="n">
        <x:f>IF(COUNT(F113:H113)=0,"",AVERAGE(F113:H113))</x:f>
        <x:v>33.473</x:v>
      </x:c>
      <x:c r="J113" s="44" t="n">
        <x:f>IF(I113="","",I113-E113)</x:f>
        <x:v>-1.4153197418130503</x:v>
      </x:c>
      <x:c r="K113" s="45" t="n">
        <x:f>IF(I113="","",J113/E113)</x:f>
        <x:v>-0.0405671511923463</x:v>
      </x:c>
      <x:c r="L113" s="36" t="str">
        <x:v>Leitura real — sequência serpentina</x:v>
      </x:c>
    </x:row>
    <x:row r="114">
      <x:c r="A114" s="40" t="n">
        <x:v>102</x:v>
      </x:c>
      <x:c r="B114" s="41" t="n">
        <x:v>3.2</x:v>
      </x:c>
      <x:c r="C114" s="41" t="n">
        <x:v>-0.75</x:v>
      </x:c>
      <x:c r="D114" s="42" t="n">
        <x:v>8.11355528312098</x:v>
      </x:c>
      <x:c r="E114" s="42" t="n">
        <x:f>$B$5-D114</x:f>
        <x:v>35.98644471687902</x:v>
      </x:c>
      <x:c r="F114" s="79" t="n">
        <x:v>33.2327</x:v>
      </x:c>
      <x:c r="G114" s="43"/>
      <x:c r="H114" s="43"/>
      <x:c r="I114" s="44" t="n">
        <x:f>IF(COUNT(F114:H114)=0,"",AVERAGE(F114:H114))</x:f>
        <x:v>33.2327</x:v>
      </x:c>
      <x:c r="J114" s="44" t="n">
        <x:f>IF(I114="","",I114-E114)</x:f>
        <x:v>-2.7537447168790194</x:v>
      </x:c>
      <x:c r="K114" s="45" t="n">
        <x:f>IF(I114="","",J114/E114)</x:f>
        <x:v>-0.07652172195791844</x:v>
      </x:c>
      <x:c r="L114" s="36" t="str">
        <x:v>Leitura real — sequência serpentina</x:v>
      </x:c>
    </x:row>
    <x:row r="115">
      <x:c r="A115" s="40" t="n">
        <x:v>103</x:v>
      </x:c>
      <x:c r="B115" s="41" t="n">
        <x:v>-0.8</x:v>
      </x:c>
      <x:c r="C115" s="41" t="n">
        <x:v>-0.5</x:v>
      </x:c>
      <x:c r="D115" s="42" t="n">
        <x:v>8.611109121170486</x:v>
      </x:c>
      <x:c r="E115" s="42" t="n">
        <x:f>$B$5-D115</x:f>
        <x:v>35.488890878829515</x:v>
      </x:c>
      <x:c r="F115" s="79" t="n">
        <x:v>38.0029</x:v>
      </x:c>
      <x:c r="G115" s="43"/>
      <x:c r="H115" s="43"/>
      <x:c r="I115" s="44" t="n">
        <x:f>IF(COUNT(F115:H115)=0,"",AVERAGE(F115:H115))</x:f>
        <x:v>38.0029</x:v>
      </x:c>
      <x:c r="J115" s="44" t="n">
        <x:f>IF(I115="","",I115-E115)</x:f>
        <x:v>2.5140091211704814</x:v>
      </x:c>
      <x:c r="K115" s="45" t="n">
        <x:f>IF(I115="","",J115/E115)</x:f>
        <x:v>0.07083932630507155</x:v>
      </x:c>
      <x:c r="L115" s="36" t="str">
        <x:v>Leitura real — sequência serpentina</x:v>
      </x:c>
    </x:row>
    <x:row r="116">
      <x:c r="A116" s="40" t="n">
        <x:v>104</x:v>
      </x:c>
      <x:c r="B116" s="41" t="n">
        <x:v>-0.55</x:v>
      </x:c>
      <x:c r="C116" s="41" t="n">
        <x:v>-0.5</x:v>
      </x:c>
      <x:c r="D116" s="42" t="n">
        <x:v>10.019726851622163</x:v>
      </x:c>
      <x:c r="E116" s="42" t="n">
        <x:f>$B$5-D116</x:f>
        <x:v>34.08027314837784</x:v>
      </x:c>
      <x:c r="F116" s="79" t="n">
        <x:v>33.7587</x:v>
      </x:c>
      <x:c r="G116" s="43"/>
      <x:c r="H116" s="43"/>
      <x:c r="I116" s="44" t="n">
        <x:f>IF(COUNT(F116:H116)=0,"",AVERAGE(F116:H116))</x:f>
        <x:v>33.7587</x:v>
      </x:c>
      <x:c r="J116" s="44" t="n">
        <x:f>IF(I116="","",I116-E116)</x:f>
        <x:v>-0.3215731483778441</x:v>
      </x:c>
      <x:c r="K116" s="45" t="n">
        <x:f>IF(I116="","",J116/E116)</x:f>
        <x:v>-0.009435756191794209</x:v>
      </x:c>
      <x:c r="L116" s="36" t="str">
        <x:v>Leitura real — sequência serpentina</x:v>
      </x:c>
    </x:row>
    <x:row r="117">
      <x:c r="A117" s="40" t="n">
        <x:v>105</x:v>
      </x:c>
      <x:c r="B117" s="41" t="n">
        <x:v>-0.30000000000000004</x:v>
      </x:c>
      <x:c r="C117" s="41" t="n">
        <x:v>-0.5</x:v>
      </x:c>
      <x:c r="D117" s="42" t="n">
        <x:v>11.890416054421527</x:v>
      </x:c>
      <x:c r="E117" s="42" t="n">
        <x:f>$B$5-D117</x:f>
        <x:v>32.20958394557847</x:v>
      </x:c>
      <x:c r="F117" s="79" t="n">
        <x:v>35.433</x:v>
      </x:c>
      <x:c r="G117" s="43"/>
      <x:c r="H117" s="43"/>
      <x:c r="I117" s="44" t="n">
        <x:f>IF(COUNT(F117:H117)=0,"",AVERAGE(F117:H117))</x:f>
        <x:v>35.433</x:v>
      </x:c>
      <x:c r="J117" s="44" t="n">
        <x:f>IF(I117="","",I117-E117)</x:f>
        <x:v>3.223416054421527</x:v>
      </x:c>
      <x:c r="K117" s="45" t="n">
        <x:f>IF(I117="","",J117/E117)</x:f>
        <x:v>0.10007630213006888</x:v>
      </x:c>
      <x:c r="L117" s="36" t="str">
        <x:v>Leitura real — sequência serpentina</x:v>
      </x:c>
    </x:row>
    <x:row r="118">
      <x:c r="A118" s="40" t="n">
        <x:v>106</x:v>
      </x:c>
      <x:c r="B118" s="41" t="n">
        <x:v>-0.050000000000000044</x:v>
      </x:c>
      <x:c r="C118" s="41" t="n">
        <x:v>-0.5</x:v>
      </x:c>
      <x:c r="D118" s="42" t="n">
        <x:v>14.221611343618868</x:v>
      </x:c>
      <x:c r="E118" s="42" t="n">
        <x:f>$B$5-D118</x:f>
        <x:v>29.878388656381134</x:v>
      </x:c>
      <x:c r="F118" s="79" t="n">
        <x:v>30.664</x:v>
      </x:c>
      <x:c r="G118" s="43"/>
      <x:c r="H118" s="43"/>
      <x:c r="I118" s="44" t="n">
        <x:f>IF(COUNT(F118:H118)=0,"",AVERAGE(F118:H118))</x:f>
        <x:v>30.664</x:v>
      </x:c>
      <x:c r="J118" s="44" t="n">
        <x:f>IF(I118="","",I118-E118)</x:f>
        <x:v>0.7856113436188679</x:v>
      </x:c>
      <x:c r="K118" s="45" t="n">
        <x:f>IF(I118="","",J118/E118)</x:f>
        <x:v>0.02629363158280909</x:v>
      </x:c>
      <x:c r="L118" s="36" t="str">
        <x:v>Leitura real — sequência serpentina</x:v>
      </x:c>
    </x:row>
    <x:row r="119">
      <x:c r="A119" s="40" t="n">
        <x:v>107</x:v>
      </x:c>
      <x:c r="B119" s="41" t="n">
        <x:v>0.19999999999999996</x:v>
      </x:c>
      <x:c r="C119" s="41" t="n">
        <x:v>-0.5</x:v>
      </x:c>
      <x:c r="D119" s="42" t="n">
        <x:v>16.60752154550849</x:v>
      </x:c>
      <x:c r="E119" s="42" t="n">
        <x:f>$B$5-D119</x:f>
        <x:v>27.49247845449151</x:v>
      </x:c>
      <x:c r="F119" s="79" t="n">
        <x:v>27.8323</x:v>
      </x:c>
      <x:c r="G119" s="43"/>
      <x:c r="H119" s="43"/>
      <x:c r="I119" s="44" t="n">
        <x:f>IF(COUNT(F119:H119)=0,"",AVERAGE(F119:H119))</x:f>
        <x:v>27.8323</x:v>
      </x:c>
      <x:c r="J119" s="44" t="n">
        <x:f>IF(I119="","",I119-E119)</x:f>
        <x:v>0.33982154550848875</x:v>
      </x:c>
      <x:c r="K119" s="45" t="n">
        <x:f>IF(I119="","",J119/E119)</x:f>
        <x:v>0.01236052784658894</x:v>
      </x:c>
      <x:c r="L119" s="36" t="str">
        <x:v>Leitura real — sequência serpentina</x:v>
      </x:c>
    </x:row>
    <x:row r="120">
      <x:c r="A120" s="40" t="n">
        <x:v>108</x:v>
      </x:c>
      <x:c r="B120" s="41" t="n">
        <x:v>0.44999999999999996</x:v>
      </x:c>
      <x:c r="C120" s="41" t="n">
        <x:v>-0.5</x:v>
      </x:c>
      <x:c r="D120" s="42" t="n">
        <x:v>18.502509228938173</x:v>
      </x:c>
      <x:c r="E120" s="42" t="n">
        <x:f>$B$5-D120</x:f>
        <x:v>25.59749077106183</x:v>
      </x:c>
      <x:c r="F120" s="79" t="n">
        <x:v>26.8086</x:v>
      </x:c>
      <x:c r="G120" s="43"/>
      <x:c r="H120" s="43"/>
      <x:c r="I120" s="44" t="n">
        <x:f>IF(COUNT(F120:H120)=0,"",AVERAGE(F120:H120))</x:f>
        <x:v>26.8086</x:v>
      </x:c>
      <x:c r="J120" s="44" t="n">
        <x:f>IF(I120="","",I120-E120)</x:f>
        <x:v>1.2111092289381702</x:v>
      </x:c>
      <x:c r="K120" s="45" t="n">
        <x:f>IF(I120="","",J120/E120)</x:f>
        <x:v>0.04731359178014976</x:v>
      </x:c>
      <x:c r="L120" s="36" t="str">
        <x:v>Leitura real — sequência serpentina</x:v>
      </x:c>
    </x:row>
    <x:row r="121">
      <x:c r="A121" s="40" t="n">
        <x:v>109</x:v>
      </x:c>
      <x:c r="B121" s="41" t="n">
        <x:v>0.7</x:v>
      </x:c>
      <x:c r="C121" s="41" t="n">
        <x:v>-0.5</x:v>
      </x:c>
      <x:c r="D121" s="42" t="n">
        <x:v>19.75786695092615</x:v>
      </x:c>
      <x:c r="E121" s="42" t="n">
        <x:f>$B$5-D121</x:f>
        <x:v>24.34213304907385</x:v>
      </x:c>
      <x:c r="F121" s="79" t="n">
        <x:v>25.462</x:v>
      </x:c>
      <x:c r="G121" s="43"/>
      <x:c r="H121" s="43"/>
      <x:c r="I121" s="44" t="n">
        <x:f>IF(COUNT(F121:H121)=0,"",AVERAGE(F121:H121))</x:f>
        <x:v>25.462</x:v>
      </x:c>
      <x:c r="J121" s="44" t="n">
        <x:f>IF(I121="","",I121-E121)</x:f>
        <x:v>1.1198669509261485</x:v>
      </x:c>
      <x:c r="K121" s="45" t="n">
        <x:f>IF(I121="","",J121/E121)</x:f>
        <x:v>0.04600529249710745</x:v>
      </x:c>
      <x:c r="L121" s="36" t="str">
        <x:v>Leitura real — sequência serpentina</x:v>
      </x:c>
    </x:row>
    <x:row r="122">
      <x:c r="A122" s="40" t="n">
        <x:v>110</x:v>
      </x:c>
      <x:c r="B122" s="41" t="n">
        <x:v>0.95</x:v>
      </x:c>
      <x:c r="C122" s="41" t="n">
        <x:v>-0.5</x:v>
      </x:c>
      <x:c r="D122" s="42" t="n">
        <x:v>20.455905226829206</x:v>
      </x:c>
      <x:c r="E122" s="42" t="n">
        <x:f>$B$5-D122</x:f>
        <x:v>23.644094773170796</x:v>
      </x:c>
      <x:c r="F122" s="79" t="n">
        <x:v>25.7135</x:v>
      </x:c>
      <x:c r="G122" s="43"/>
      <x:c r="H122" s="43"/>
      <x:c r="I122" s="44" t="n">
        <x:f>IF(COUNT(F122:H122)=0,"",AVERAGE(F122:H122))</x:f>
        <x:v>25.7135</x:v>
      </x:c>
      <x:c r="J122" s="44" t="n">
        <x:f>IF(I122="","",I122-E122)</x:f>
        <x:v>2.069405226829204</x:v>
      </x:c>
      <x:c r="K122" s="45" t="n">
        <x:f>IF(I122="","",J122/E122)</x:f>
        <x:v>0.08752313195671081</x:v>
      </x:c>
      <x:c r="L122" s="36" t="str">
        <x:v>Leitura real — sequência serpentina</x:v>
      </x:c>
    </x:row>
    <x:row r="123">
      <x:c r="A123" s="40" t="n">
        <x:v>111</x:v>
      </x:c>
      <x:c r="B123" s="41" t="n">
        <x:v>1.2</x:v>
      </x:c>
      <x:c r="C123" s="41" t="n">
        <x:v>-0.5</x:v>
      </x:c>
      <x:c r="D123" s="42" t="n">
        <x:v>20.678991928710644</x:v>
      </x:c>
      <x:c r="E123" s="42" t="n">
        <x:f>$B$5-D123</x:f>
        <x:v>23.421008071289357</x:v>
      </x:c>
      <x:c r="F123" s="79" t="n">
        <x:v>22.6468</x:v>
      </x:c>
      <x:c r="G123" s="43"/>
      <x:c r="H123" s="43"/>
      <x:c r="I123" s="44" t="n">
        <x:f>IF(COUNT(F123:H123)=0,"",AVERAGE(F123:H123))</x:f>
        <x:v>22.6468</x:v>
      </x:c>
      <x:c r="J123" s="44" t="n">
        <x:f>IF(I123="","",I123-E123)</x:f>
        <x:v>-0.7742080712893582</x:v>
      </x:c>
      <x:c r="K123" s="45" t="n">
        <x:f>IF(I123="","",J123/E123)</x:f>
        <x:v>-0.03305613784568142</x:v>
      </x:c>
      <x:c r="L123" s="36" t="str">
        <x:v>Leitura real — sequência serpentina</x:v>
      </x:c>
    </x:row>
    <x:row r="124">
      <x:c r="A124" s="40" t="n">
        <x:v>112</x:v>
      </x:c>
      <x:c r="B124" s="41" t="n">
        <x:v>1.45</x:v>
      </x:c>
      <x:c r="C124" s="41" t="n">
        <x:v>-0.5</x:v>
      </x:c>
      <x:c r="D124" s="42" t="n">
        <x:v>20.455905226829206</x:v>
      </x:c>
      <x:c r="E124" s="42" t="n">
        <x:f>$B$5-D124</x:f>
        <x:v>23.644094773170796</x:v>
      </x:c>
      <x:c r="F124" s="79" t="n">
        <x:v>20.6912</x:v>
      </x:c>
      <x:c r="G124" s="43"/>
      <x:c r="H124" s="43"/>
      <x:c r="I124" s="44" t="n">
        <x:f>IF(COUNT(F124:H124)=0,"",AVERAGE(F124:H124))</x:f>
        <x:v>20.6912</x:v>
      </x:c>
      <x:c r="J124" s="44" t="n">
        <x:f>IF(I124="","",I124-E124)</x:f>
        <x:v>-2.9528947731707973</x:v>
      </x:c>
      <x:c r="K124" s="45" t="n">
        <x:f>IF(I124="","",J124/E124)</x:f>
        <x:v>-0.12488931386459667</x:v>
      </x:c>
      <x:c r="L124" s="36" t="str">
        <x:v>Leitura real — sequência serpentina</x:v>
      </x:c>
    </x:row>
    <x:row r="125">
      <x:c r="A125" s="40" t="n">
        <x:v>113</x:v>
      </x:c>
      <x:c r="B125" s="41" t="n">
        <x:v>1.7</x:v>
      </x:c>
      <x:c r="C125" s="41" t="n">
        <x:v>-0.5</x:v>
      </x:c>
      <x:c r="D125" s="42" t="n">
        <x:v>19.75786695092615</x:v>
      </x:c>
      <x:c r="E125" s="42" t="n">
        <x:f>$B$5-D125</x:f>
        <x:v>24.34213304907385</x:v>
      </x:c>
      <x:c r="F125" s="79" t="n">
        <x:v>24.9432</x:v>
      </x:c>
      <x:c r="G125" s="43"/>
      <x:c r="H125" s="43"/>
      <x:c r="I125" s="44" t="n">
        <x:f>IF(COUNT(F125:H125)=0,"",AVERAGE(F125:H125))</x:f>
        <x:v>24.9432</x:v>
      </x:c>
      <x:c r="J125" s="44" t="n">
        <x:f>IF(I125="","",I125-E125)</x:f>
        <x:v>0.6010669509261497</x:v>
      </x:c>
      <x:c r="K125" s="45" t="n">
        <x:f>IF(I125="","",J125/E125)</x:f>
        <x:v>0.024692451960327225</x:v>
      </x:c>
      <x:c r="L125" s="36" t="str">
        <x:v>Leitura real — sequência serpentina</x:v>
      </x:c>
    </x:row>
    <x:row r="126">
      <x:c r="A126" s="40" t="n">
        <x:v>114</x:v>
      </x:c>
      <x:c r="B126" s="41" t="n">
        <x:v>1.95</x:v>
      </x:c>
      <x:c r="C126" s="41" t="n">
        <x:v>-0.5</x:v>
      </x:c>
      <x:c r="D126" s="42" t="n">
        <x:v>18.502509228938173</x:v>
      </x:c>
      <x:c r="E126" s="42" t="n">
        <x:f>$B$5-D126</x:f>
        <x:v>25.59749077106183</x:v>
      </x:c>
      <x:c r="F126" s="79" t="n">
        <x:v>25.0841</x:v>
      </x:c>
      <x:c r="G126" s="43"/>
      <x:c r="H126" s="43"/>
      <x:c r="I126" s="44" t="n">
        <x:f>IF(COUNT(F126:H126)=0,"",AVERAGE(F126:H126))</x:f>
        <x:v>25.0841</x:v>
      </x:c>
      <x:c r="J126" s="44" t="n">
        <x:f>IF(I126="","",I126-E126)</x:f>
        <x:v>-0.5133907710618288</x:v>
      </x:c>
      <x:c r="K126" s="45" t="n">
        <x:f>IF(I126="","",J126/E126)</x:f>
        <x:v>-0.020056292847352886</x:v>
      </x:c>
      <x:c r="L126" s="36" t="str">
        <x:v>Leitura real — sequência serpentina</x:v>
      </x:c>
    </x:row>
    <x:row r="127">
      <x:c r="A127" s="40" t="n">
        <x:v>115</x:v>
      </x:c>
      <x:c r="B127" s="41" t="n">
        <x:v>2.2</x:v>
      </x:c>
      <x:c r="C127" s="41" t="n">
        <x:v>-0.5</x:v>
      </x:c>
      <x:c r="D127" s="42" t="n">
        <x:v>16.607521545508487</x:v>
      </x:c>
      <x:c r="E127" s="42" t="n">
        <x:f>$B$5-D127</x:f>
        <x:v>27.492478454491515</x:v>
      </x:c>
      <x:c r="F127" s="79" t="n">
        <x:v>27.5601</x:v>
      </x:c>
      <x:c r="G127" s="43"/>
      <x:c r="H127" s="43"/>
      <x:c r="I127" s="44" t="n">
        <x:f>IF(COUNT(F127:H127)=0,"",AVERAGE(F127:H127))</x:f>
        <x:v>27.5601</x:v>
      </x:c>
      <x:c r="J127" s="44" t="n">
        <x:f>IF(I127="","",I127-E127)</x:f>
        <x:v>0.06762154550848365</x:v>
      </x:c>
      <x:c r="K127" s="45" t="n">
        <x:f>IF(I127="","",J127/E127)</x:f>
        <x:v>0.0024596380286491105</x:v>
      </x:c>
      <x:c r="L127" s="36" t="str">
        <x:v>Leitura real — sequência serpentina</x:v>
      </x:c>
    </x:row>
    <x:row r="128">
      <x:c r="A128" s="40" t="n">
        <x:v>116</x:v>
      </x:c>
      <x:c r="B128" s="41" t="n">
        <x:v>2.45</x:v>
      </x:c>
      <x:c r="C128" s="41" t="n">
        <x:v>-0.5</x:v>
      </x:c>
      <x:c r="D128" s="42" t="n">
        <x:v>14.221611343618866</x:v>
      </x:c>
      <x:c r="E128" s="42" t="n">
        <x:f>$B$5-D128</x:f>
        <x:v>29.878388656381134</x:v>
      </x:c>
      <x:c r="F128" s="79" t="n">
        <x:v>33.5185</x:v>
      </x:c>
      <x:c r="G128" s="43"/>
      <x:c r="H128" s="43"/>
      <x:c r="I128" s="44" t="n">
        <x:f>IF(COUNT(F128:H128)=0,"",AVERAGE(F128:H128))</x:f>
        <x:v>33.5185</x:v>
      </x:c>
      <x:c r="J128" s="44" t="n">
        <x:f>IF(I128="","",I128-E128)</x:f>
        <x:v>3.6401113436188695</x:v>
      </x:c>
      <x:c r="K128" s="45" t="n">
        <x:f>IF(I128="","",J128/E128)</x:f>
        <x:v>0.12183091215133016</x:v>
      </x:c>
      <x:c r="L128" s="36" t="str">
        <x:v>Leitura real — sequência serpentina</x:v>
      </x:c>
    </x:row>
    <x:row r="129">
      <x:c r="A129" s="40" t="n">
        <x:v>117</x:v>
      </x:c>
      <x:c r="B129" s="41" t="n">
        <x:v>2.7</x:v>
      </x:c>
      <x:c r="C129" s="41" t="n">
        <x:v>-0.5</x:v>
      </x:c>
      <x:c r="D129" s="42" t="n">
        <x:v>11.890416054421523</x:v>
      </x:c>
      <x:c r="E129" s="42" t="n">
        <x:f>$B$5-D129</x:f>
        <x:v>32.20958394557848</x:v>
      </x:c>
      <x:c r="F129" s="79" t="n">
        <x:v>30.6068</x:v>
      </x:c>
      <x:c r="G129" s="43"/>
      <x:c r="H129" s="43"/>
      <x:c r="I129" s="44" t="n">
        <x:f>IF(COUNT(F129:H129)=0,"",AVERAGE(F129:H129))</x:f>
        <x:v>30.6068</x:v>
      </x:c>
      <x:c r="J129" s="44" t="n">
        <x:f>IF(I129="","",I129-E129)</x:f>
        <x:v>-1.60278394557848</x:v>
      </x:c>
      <x:c r="K129" s="45" t="n">
        <x:f>IF(I129="","",J129/E129)</x:f>
        <x:v>-0.049761088137200225</x:v>
      </x:c>
      <x:c r="L129" s="36" t="str">
        <x:v>Leitura real — sequência serpentina</x:v>
      </x:c>
    </x:row>
    <x:row r="130">
      <x:c r="A130" s="40" t="n">
        <x:v>118</x:v>
      </x:c>
      <x:c r="B130" s="41" t="n">
        <x:v>2.95</x:v>
      </x:c>
      <x:c r="C130" s="41" t="n">
        <x:v>-0.5</x:v>
      </x:c>
      <x:c r="D130" s="42" t="n">
        <x:v>10.019726851622162</x:v>
      </x:c>
      <x:c r="E130" s="42" t="n">
        <x:f>$B$5-D130</x:f>
        <x:v>34.08027314837784</x:v>
      </x:c>
      <x:c r="F130" s="79" t="n">
        <x:v>36.3422</x:v>
      </x:c>
      <x:c r="G130" s="43"/>
      <x:c r="H130" s="43"/>
      <x:c r="I130" s="44" t="n">
        <x:f>IF(COUNT(F130:H130)=0,"",AVERAGE(F130:H130))</x:f>
        <x:v>36.3422</x:v>
      </x:c>
      <x:c r="J130" s="44" t="n">
        <x:f>IF(I130="","",I130-E130)</x:f>
        <x:v>2.2619268516221567</x:v>
      </x:c>
      <x:c r="K130" s="45" t="n">
        <x:f>IF(I130="","",J130/E130)</x:f>
        <x:v>0.06637056110947925</x:v>
      </x:c>
      <x:c r="L130" s="36" t="str">
        <x:v>Leitura real — sequência serpentina</x:v>
      </x:c>
    </x:row>
    <x:row r="131">
      <x:c r="A131" s="40" t="n">
        <x:v>119</x:v>
      </x:c>
      <x:c r="B131" s="41" t="n">
        <x:v>3.2</x:v>
      </x:c>
      <x:c r="C131" s="41" t="n">
        <x:v>-0.5</x:v>
      </x:c>
      <x:c r="D131" s="42" t="n">
        <x:v>8.611109121170484</x:v>
      </x:c>
      <x:c r="E131" s="42" t="n">
        <x:f>$B$5-D131</x:f>
        <x:v>35.488890878829515</x:v>
      </x:c>
      <x:c r="F131" s="79" t="n">
        <x:v>38.2476</x:v>
      </x:c>
      <x:c r="G131" s="43"/>
      <x:c r="H131" s="43"/>
      <x:c r="I131" s="44" t="n">
        <x:f>IF(COUNT(F131:H131)=0,"",AVERAGE(F131:H131))</x:f>
        <x:v>38.2476</x:v>
      </x:c>
      <x:c r="J131" s="44" t="n">
        <x:f>IF(I131="","",I131-E131)</x:f>
        <x:v>2.758709121170483</x:v>
      </x:c>
      <x:c r="K131" s="45" t="n">
        <x:f>IF(I131="","",J131/E131)</x:f>
        <x:v>0.07773444176065132</x:v>
      </x:c>
      <x:c r="L131" s="36" t="str">
        <x:v>Leitura real — sequência serpentina</x:v>
      </x:c>
    </x:row>
    <x:row r="132">
      <x:c r="A132" s="40" t="n">
        <x:v>120</x:v>
      </x:c>
      <x:c r="B132" s="41" t="n">
        <x:v>-0.8</x:v>
      </x:c>
      <x:c r="C132" s="41" t="n">
        <x:v>-0.25</x:v>
      </x:c>
      <x:c r="D132" s="42" t="n">
        <x:v>8.982894076914231</x:v>
      </x:c>
      <x:c r="E132" s="42" t="n">
        <x:f>$B$5-D132</x:f>
        <x:v>35.117105923085774</x:v>
      </x:c>
      <x:c r="F132" s="79" t="n">
        <x:v>40.2022</x:v>
      </x:c>
      <x:c r="G132" s="43"/>
      <x:c r="H132" s="43"/>
      <x:c r="I132" s="44" t="n">
        <x:f>IF(COUNT(F132:H132)=0,"",AVERAGE(F132:H132))</x:f>
        <x:v>40.2022</x:v>
      </x:c>
      <x:c r="J132" s="44" t="n">
        <x:f>IF(I132="","",I132-E132)</x:f>
        <x:v>5.085094076914224</x:v>
      </x:c>
      <x:c r="K132" s="45" t="n">
        <x:f>IF(I132="","",J132/E132)</x:f>
        <x:v>0.14480390519798825</x:v>
      </x:c>
      <x:c r="L132" s="36" t="str">
        <x:v>Leitura real — sequência serpentina</x:v>
      </x:c>
    </x:row>
    <x:row r="133">
      <x:c r="A133" s="40" t="n">
        <x:v>121</x:v>
      </x:c>
      <x:c r="B133" s="41" t="n">
        <x:v>-0.55</x:v>
      </x:c>
      <x:c r="C133" s="41" t="n">
        <x:v>-0.25</x:v>
      </x:c>
      <x:c r="D133" s="42" t="n">
        <x:v>10.703680167440217</x:v>
      </x:c>
      <x:c r="E133" s="42" t="n">
        <x:f>$B$5-D133</x:f>
        <x:v>33.39631983255978</x:v>
      </x:c>
      <x:c r="F133" s="79" t="n">
        <x:v>32.9466</x:v>
      </x:c>
      <x:c r="G133" s="43"/>
      <x:c r="H133" s="43"/>
      <x:c r="I133" s="44" t="n">
        <x:f>IF(COUNT(F133:H133)=0,"",AVERAGE(F133:H133))</x:f>
        <x:v>32.9466</x:v>
      </x:c>
      <x:c r="J133" s="44" t="n">
        <x:f>IF(I133="","",I133-E133)</x:f>
        <x:v>-0.4497198325597864</x:v>
      </x:c>
      <x:c r="K133" s="45" t="n">
        <x:f>IF(I133="","",J133/E133)</x:f>
        <x:v>-0.013466149408514512</x:v>
      </x:c>
      <x:c r="L133" s="36" t="str">
        <x:v>Leitura real — sequência serpentina</x:v>
      </x:c>
    </x:row>
    <x:row r="134">
      <x:c r="A134" s="40" t="n">
        <x:v>122</x:v>
      </x:c>
      <x:c r="B134" s="41" t="n">
        <x:v>-0.30000000000000004</x:v>
      </x:c>
      <x:c r="C134" s="41" t="n">
        <x:v>-0.25</x:v>
      </x:c>
      <x:c r="D134" s="42" t="n">
        <x:v>13.328211216659662</x:v>
      </x:c>
      <x:c r="E134" s="42" t="n">
        <x:f>$B$5-D134</x:f>
        <x:v>30.77178878334034</x:v>
      </x:c>
      <x:c r="F134" s="79" t="n">
        <x:v>28.4407</x:v>
      </x:c>
      <x:c r="G134" s="43"/>
      <x:c r="H134" s="43"/>
      <x:c r="I134" s="44" t="n">
        <x:f>IF(COUNT(F134:H134)=0,"",AVERAGE(F134:H134))</x:f>
        <x:v>28.4407</x:v>
      </x:c>
      <x:c r="J134" s="44" t="n">
        <x:f>IF(I134="","",I134-E134)</x:f>
        <x:v>-2.3310887833403413</x:v>
      </x:c>
      <x:c r="K134" s="45" t="n">
        <x:f>IF(I134="","",J134/E134)</x:f>
        <x:v>-0.07575408760774995</x:v>
      </x:c>
      <x:c r="L134" s="36" t="str">
        <x:v>Leitura real — sequência serpentina</x:v>
      </x:c>
    </x:row>
    <x:row r="135">
      <x:c r="A135" s="40" t="n">
        <x:v>123</x:v>
      </x:c>
      <x:c r="B135" s="41" t="n">
        <x:v>-0.050000000000000044</x:v>
      </x:c>
      <x:c r="C135" s="41" t="n">
        <x:v>-0.25</x:v>
      </x:c>
      <x:c r="D135" s="42" t="n">
        <x:v>17.40515016105068</x:v>
      </x:c>
      <x:c r="E135" s="42" t="n">
        <x:f>$B$5-D135</x:f>
        <x:v>26.69484983894932</x:v>
      </x:c>
      <x:c r="F135" s="79" t="n">
        <x:v>28.4718</x:v>
      </x:c>
      <x:c r="G135" s="43"/>
      <x:c r="H135" s="43"/>
      <x:c r="I135" s="44" t="n">
        <x:f>IF(COUNT(F135:H135)=0,"",AVERAGE(F135:H135))</x:f>
        <x:v>28.4718</x:v>
      </x:c>
      <x:c r="J135" s="44" t="n">
        <x:f>IF(I135="","",I135-E135)</x:f>
        <x:v>1.7769501610506815</x:v>
      </x:c>
      <x:c r="K135" s="45" t="n">
        <x:f>IF(I135="","",J135/E135)</x:f>
        <x:v>0.06656528026083927</x:v>
      </x:c>
      <x:c r="L135" s="36" t="str">
        <x:v>Leitura real — sequência serpentina</x:v>
      </x:c>
    </x:row>
    <x:row r="136">
      <x:c r="A136" s="40" t="n">
        <x:v>124</x:v>
      </x:c>
      <x:c r="B136" s="41" t="n">
        <x:v>0.19999999999999996</x:v>
      </x:c>
      <x:c r="C136" s="41" t="n">
        <x:v>-0.25</x:v>
      </x:c>
      <x:c r="D136" s="42" t="n">
        <x:v>21.906503211219935</x:v>
      </x:c>
      <x:c r="E136" s="42" t="n">
        <x:f>$B$5-D136</x:f>
        <x:v>22.193496788780067</x:v>
      </x:c>
      <x:c r="F136" s="79" t="n">
        <x:v>21.0367</x:v>
      </x:c>
      <x:c r="G136" s="43"/>
      <x:c r="H136" s="43"/>
      <x:c r="I136" s="44" t="n">
        <x:f>IF(COUNT(F136:H136)=0,"",AVERAGE(F136:H136))</x:f>
        <x:v>21.0367</x:v>
      </x:c>
      <x:c r="J136" s="44" t="n">
        <x:f>IF(I136="","",I136-E136)</x:f>
        <x:v>-1.156796788780067</x:v>
      </x:c>
      <x:c r="K136" s="45" t="n">
        <x:f>IF(I136="","",J136/E136)</x:f>
        <x:v>-0.052123232304919435</x:v>
      </x:c>
      <x:c r="L136" s="36" t="str">
        <x:v>Leitura real — sequência serpentina</x:v>
      </x:c>
    </x:row>
    <x:row r="137">
      <x:c r="A137" s="40" t="n">
        <x:v>125</x:v>
      </x:c>
      <x:c r="B137" s="41" t="n">
        <x:v>0.44999999999999996</x:v>
      </x:c>
      <x:c r="C137" s="41" t="n">
        <x:v>-0.25</x:v>
      </x:c>
      <x:c r="D137" s="42" t="n">
        <x:v>24.8781483152137</x:v>
      </x:c>
      <x:c r="E137" s="42" t="n">
        <x:f>$B$5-D137</x:f>
        <x:v>19.2218516847863</x:v>
      </x:c>
      <x:c r="F137" s="79" t="n">
        <x:v>17.1124</x:v>
      </x:c>
      <x:c r="G137" s="43"/>
      <x:c r="H137" s="43"/>
      <x:c r="I137" s="44" t="n">
        <x:f>IF(COUNT(F137:H137)=0,"",AVERAGE(F137:H137))</x:f>
        <x:v>17.1124</x:v>
      </x:c>
      <x:c r="J137" s="44" t="n">
        <x:f>IF(I137="","",I137-E137)</x:f>
        <x:v>-2.1094516847863005</x:v>
      </x:c>
      <x:c r="K137" s="45" t="n">
        <x:f>IF(I137="","",J137/E137)</x:f>
        <x:v>-0.10974237650870483</x:v>
      </x:c>
      <x:c r="L137" s="36" t="str">
        <x:v>Leitura real — sequência serpentina</x:v>
      </x:c>
    </x:row>
    <x:row r="138">
      <x:c r="A138" s="40" t="n">
        <x:v>126</x:v>
      </x:c>
      <x:c r="B138" s="41" t="n">
        <x:v>0.7</x:v>
      </x:c>
      <x:c r="C138" s="41" t="n">
        <x:v>-0.25</x:v>
      </x:c>
      <x:c r="D138" s="42" t="n">
        <x:v>26.55396872662436</x:v>
      </x:c>
      <x:c r="E138" s="42" t="n">
        <x:f>$B$5-D138</x:f>
        <x:v>17.546031273375643</x:v>
      </x:c>
      <x:c r="F138" s="79" t="n">
        <x:v>16.6922</x:v>
      </x:c>
      <x:c r="G138" s="43"/>
      <x:c r="H138" s="43"/>
      <x:c r="I138" s="44" t="n">
        <x:f>IF(COUNT(F138:H138)=0,"",AVERAGE(F138:H138))</x:f>
        <x:v>16.6922</x:v>
      </x:c>
      <x:c r="J138" s="44" t="n">
        <x:f>IF(I138="","",I138-E138)</x:f>
        <x:v>-0.8538312733756435</x:v>
      </x:c>
      <x:c r="K138" s="45" t="n">
        <x:f>IF(I138="","",J138/E138)</x:f>
        <x:v>-0.04866235902994471</x:v>
      </x:c>
      <x:c r="L138" s="36" t="str">
        <x:v>Leitura real — sequência serpentina</x:v>
      </x:c>
    </x:row>
    <x:row r="139">
      <x:c r="A139" s="40" t="n">
        <x:v>127</x:v>
      </x:c>
      <x:c r="B139" s="41" t="n">
        <x:v>0.95</x:v>
      </x:c>
      <x:c r="C139" s="41" t="n">
        <x:v>-0.25</x:v>
      </x:c>
      <x:c r="D139" s="42" t="n">
        <x:v>27.41561398121956</x:v>
      </x:c>
      <x:c r="E139" s="42" t="n">
        <x:f>$B$5-D139</x:f>
        <x:v>16.68438601878044</x:v>
      </x:c>
      <x:c r="F139" s="79" t="n">
        <x:v>16.6853</x:v>
      </x:c>
      <x:c r="G139" s="43"/>
      <x:c r="H139" s="43"/>
      <x:c r="I139" s="44" t="n">
        <x:f>IF(COUNT(F139:H139)=0,"",AVERAGE(F139:H139))</x:f>
        <x:v>16.6853</x:v>
      </x:c>
      <x:c r="J139" s="44" t="n">
        <x:f>IF(I139="","",I139-E139)</x:f>
        <x:v>0.0009139812195613217</x:v>
      </x:c>
      <x:c r="K139" s="45" t="n">
        <x:f>IF(I139="","",J139/E139)</x:f>
        <x:v>0.00005478063253466548</x:v>
      </x:c>
      <x:c r="L139" s="36" t="str">
        <x:v>Leitura real — sequência serpentina</x:v>
      </x:c>
    </x:row>
    <x:row r="140">
      <x:c r="A140" s="40" t="n">
        <x:v>128</x:v>
      </x:c>
      <x:c r="B140" s="41" t="n">
        <x:v>1.2</x:v>
      </x:c>
      <x:c r="C140" s="41" t="n">
        <x:v>-0.25</x:v>
      </x:c>
      <x:c r="D140" s="42" t="n">
        <x:v>27.68270505730121</x:v>
      </x:c>
      <x:c r="E140" s="42" t="n">
        <x:f>$B$5-D140</x:f>
        <x:v>16.417294942698792</x:v>
      </x:c>
      <x:c r="F140" s="79" t="n">
        <x:v>18.3665</x:v>
      </x:c>
      <x:c r="G140" s="43"/>
      <x:c r="H140" s="43"/>
      <x:c r="I140" s="44" t="n">
        <x:f>IF(COUNT(F140:H140)=0,"",AVERAGE(F140:H140))</x:f>
        <x:v>18.3665</x:v>
      </x:c>
      <x:c r="J140" s="44" t="n">
        <x:f>IF(I140="","",I140-E140)</x:f>
        <x:v>1.9492050573012065</x:v>
      </x:c>
      <x:c r="K140" s="45" t="n">
        <x:f>IF(I140="","",J140/E140)</x:f>
        <x:v>0.11872875915944178</x:v>
      </x:c>
      <x:c r="L140" s="36" t="str">
        <x:v>Leitura real — sequência serpentina</x:v>
      </x:c>
    </x:row>
    <x:row r="141">
      <x:c r="A141" s="40" t="n">
        <x:v>129</x:v>
      </x:c>
      <x:c r="B141" s="41" t="n">
        <x:v>1.45</x:v>
      </x:c>
      <x:c r="C141" s="41" t="n">
        <x:v>-0.25</x:v>
      </x:c>
      <x:c r="D141" s="42" t="n">
        <x:v>27.41561398121956</x:v>
      </x:c>
      <x:c r="E141" s="42" t="n">
        <x:f>$B$5-D141</x:f>
        <x:v>16.68438601878044</x:v>
      </x:c>
      <x:c r="F141" s="79" t="n">
        <x:v>17.2085</x:v>
      </x:c>
      <x:c r="G141" s="43"/>
      <x:c r="H141" s="43"/>
      <x:c r="I141" s="44" t="n">
        <x:f>IF(COUNT(F141:H141)=0,"",AVERAGE(F141:H141))</x:f>
        <x:v>17.2085</x:v>
      </x:c>
      <x:c r="J141" s="44" t="n">
        <x:f>IF(I141="","",I141-E141)</x:f>
        <x:v>0.5241139812195605</x:v>
      </x:c>
      <x:c r="K141" s="45" t="n">
        <x:f>IF(I141="","",J141/E141)</x:f>
        <x:v>0.031413441323498645</x:v>
      </x:c>
      <x:c r="L141" s="36" t="str">
        <x:v>Leitura real — sequência serpentina</x:v>
      </x:c>
    </x:row>
    <x:row r="142">
      <x:c r="A142" s="40" t="n">
        <x:v>130</x:v>
      </x:c>
      <x:c r="B142" s="41" t="n">
        <x:v>1.7</x:v>
      </x:c>
      <x:c r="C142" s="41" t="n">
        <x:v>-0.25</x:v>
      </x:c>
      <x:c r="D142" s="42" t="n">
        <x:v>26.55396872662436</x:v>
      </x:c>
      <x:c r="E142" s="42" t="n">
        <x:f>$B$5-D142</x:f>
        <x:v>17.546031273375643</x:v>
      </x:c>
      <x:c r="F142" s="79" t="n">
        <x:v>19.3852</x:v>
      </x:c>
      <x:c r="G142" s="43"/>
      <x:c r="H142" s="43"/>
      <x:c r="I142" s="44" t="n">
        <x:f>IF(COUNT(F142:H142)=0,"",AVERAGE(F142:H142))</x:f>
        <x:v>19.3852</x:v>
      </x:c>
      <x:c r="J142" s="44" t="n">
        <x:f>IF(I142="","",I142-E142)</x:f>
        <x:v>1.839168726624358</x:v>
      </x:c>
      <x:c r="K142" s="45" t="n">
        <x:f>IF(I142="","",J142/E142)</x:f>
        <x:v>0.10481964257154343</x:v>
      </x:c>
      <x:c r="L142" s="36" t="str">
        <x:v>Leitura real — sequência serpentina</x:v>
      </x:c>
    </x:row>
    <x:row r="143">
      <x:c r="A143" s="40" t="n">
        <x:v>131</x:v>
      </x:c>
      <x:c r="B143" s="41" t="n">
        <x:v>1.95</x:v>
      </x:c>
      <x:c r="C143" s="41" t="n">
        <x:v>-0.25</x:v>
      </x:c>
      <x:c r="D143" s="42" t="n">
        <x:v>24.8781483152137</x:v>
      </x:c>
      <x:c r="E143" s="42" t="n">
        <x:f>$B$5-D143</x:f>
        <x:v>19.2218516847863</x:v>
      </x:c>
      <x:c r="F143" s="79" t="n">
        <x:v>20.4413</x:v>
      </x:c>
      <x:c r="G143" s="43"/>
      <x:c r="H143" s="43"/>
      <x:c r="I143" s="44" t="n">
        <x:f>IF(COUNT(F143:H143)=0,"",AVERAGE(F143:H143))</x:f>
        <x:v>20.4413</x:v>
      </x:c>
      <x:c r="J143" s="44" t="n">
        <x:f>IF(I143="","",I143-E143)</x:f>
        <x:v>1.2194483152136968</x:v>
      </x:c>
      <x:c r="K143" s="45" t="n">
        <x:f>IF(I143="","",J143/E143)</x:f>
        <x:v>0.06344073064401308</x:v>
      </x:c>
      <x:c r="L143" s="36" t="str">
        <x:v>Leitura real — sequência serpentina</x:v>
      </x:c>
    </x:row>
    <x:row r="144">
      <x:c r="A144" s="40" t="n">
        <x:v>132</x:v>
      </x:c>
      <x:c r="B144" s="41" t="n">
        <x:v>2.2</x:v>
      </x:c>
      <x:c r="C144" s="41" t="n">
        <x:v>-0.25</x:v>
      </x:c>
      <x:c r="D144" s="42" t="n">
        <x:v>21.90650321121993</x:v>
      </x:c>
      <x:c r="E144" s="42" t="n">
        <x:f>$B$5-D144</x:f>
        <x:v>22.19349678878007</x:v>
      </x:c>
      <x:c r="F144" s="79" t="n">
        <x:v>24.0443</x:v>
      </x:c>
      <x:c r="G144" s="43"/>
      <x:c r="H144" s="43"/>
      <x:c r="I144" s="44" t="n">
        <x:f>IF(COUNT(F144:H144)=0,"",AVERAGE(F144:H144))</x:f>
        <x:v>24.0443</x:v>
      </x:c>
      <x:c r="J144" s="44" t="n">
        <x:f>IF(I144="","",I144-E144)</x:f>
        <x:v>1.8508032112199295</x:v>
      </x:c>
      <x:c r="K144" s="45" t="n">
        <x:f>IF(I144="","",J144/E144)</x:f>
        <x:v>0.08339394322735134</x:v>
      </x:c>
      <x:c r="L144" s="36" t="str">
        <x:v>Leitura real — sequência serpentina</x:v>
      </x:c>
    </x:row>
    <x:row r="145">
      <x:c r="A145" s="40" t="n">
        <x:v>133</x:v>
      </x:c>
      <x:c r="B145" s="41" t="n">
        <x:v>2.45</x:v>
      </x:c>
      <x:c r="C145" s="41" t="n">
        <x:v>-0.25</x:v>
      </x:c>
      <x:c r="D145" s="42" t="n">
        <x:v>17.405150161050674</x:v>
      </x:c>
      <x:c r="E145" s="42" t="n">
        <x:f>$B$5-D145</x:f>
        <x:v>26.694849838949327</x:v>
      </x:c>
      <x:c r="F145" s="79" t="n">
        <x:v>26.0726</x:v>
      </x:c>
      <x:c r="G145" s="43"/>
      <x:c r="H145" s="43"/>
      <x:c r="I145" s="44" t="n">
        <x:f>IF(COUNT(F145:H145)=0,"",AVERAGE(F145:H145))</x:f>
        <x:v>26.0726</x:v>
      </x:c>
      <x:c r="J145" s="44" t="n">
        <x:f>IF(I145="","",I145-E145)</x:f>
        <x:v>-0.6222498389493261</x:v>
      </x:c>
      <x:c r="K145" s="45" t="n">
        <x:f>IF(I145="","",J145/E145)</x:f>
        <x:v>-0.023309733626649874</x:v>
      </x:c>
      <x:c r="L145" s="36" t="str">
        <x:v>Leitura real — sequência serpentina</x:v>
      </x:c>
    </x:row>
    <x:row r="146">
      <x:c r="A146" s="40" t="n">
        <x:v>134</x:v>
      </x:c>
      <x:c r="B146" s="41" t="n">
        <x:v>2.7</x:v>
      </x:c>
      <x:c r="C146" s="41" t="n">
        <x:v>-0.25</x:v>
      </x:c>
      <x:c r="D146" s="42" t="n">
        <x:v>13.32821121665966</x:v>
      </x:c>
      <x:c r="E146" s="42" t="n">
        <x:f>$B$5-D146</x:f>
        <x:v>30.77178878334034</x:v>
      </x:c>
      <x:c r="F146" s="79" t="n">
        <x:v>30.4832</x:v>
      </x:c>
      <x:c r="G146" s="43"/>
      <x:c r="H146" s="43"/>
      <x:c r="I146" s="44" t="n">
        <x:f>IF(COUNT(F146:H146)=0,"",AVERAGE(F146:H146))</x:f>
        <x:v>30.4832</x:v>
      </x:c>
      <x:c r="J146" s="44" t="n">
        <x:f>IF(I146="","",I146-E146)</x:f>
        <x:v>-0.2885887833403409</x:v>
      </x:c>
      <x:c r="K146" s="45" t="n">
        <x:f>IF(I146="","",J146/E146)</x:f>
        <x:v>-0.009378355784652372</x:v>
      </x:c>
      <x:c r="L146" s="36" t="str">
        <x:v>Leitura real — sequência serpentina</x:v>
      </x:c>
    </x:row>
    <x:row r="147">
      <x:c r="A147" s="40" t="n">
        <x:v>135</x:v>
      </x:c>
      <x:c r="B147" s="41" t="n">
        <x:v>2.95</x:v>
      </x:c>
      <x:c r="C147" s="41" t="n">
        <x:v>-0.25</x:v>
      </x:c>
      <x:c r="D147" s="42" t="n">
        <x:v>10.703680167440213</x:v>
      </x:c>
      <x:c r="E147" s="42" t="n">
        <x:f>$B$5-D147</x:f>
        <x:v>33.39631983255979</x:v>
      </x:c>
      <x:c r="F147" s="79" t="n">
        <x:v>36.3536</x:v>
      </x:c>
      <x:c r="G147" s="43"/>
      <x:c r="H147" s="43"/>
      <x:c r="I147" s="44" t="n">
        <x:f>IF(COUNT(F147:H147)=0,"",AVERAGE(F147:H147))</x:f>
        <x:v>36.3536</x:v>
      </x:c>
      <x:c r="J147" s="44" t="n">
        <x:f>IF(I147="","",I147-E147)</x:f>
        <x:v>2.95728016744021</x:v>
      </x:c>
      <x:c r="K147" s="45" t="n">
        <x:f>IF(I147="","",J147/E147)</x:f>
        <x:v>0.08855107934847975</x:v>
      </x:c>
      <x:c r="L147" s="36" t="str">
        <x:v>Leitura real — sequência serpentina</x:v>
      </x:c>
    </x:row>
    <x:row r="148">
      <x:c r="A148" s="40" t="n">
        <x:v>136</x:v>
      </x:c>
      <x:c r="B148" s="41" t="n">
        <x:v>3.2</x:v>
      </x:c>
      <x:c r="C148" s="41" t="n">
        <x:v>-0.25</x:v>
      </x:c>
      <x:c r="D148" s="42" t="n">
        <x:v>8.982894076914228</x:v>
      </x:c>
      <x:c r="E148" s="42" t="n">
        <x:f>$B$5-D148</x:f>
        <x:v>35.117105923085774</x:v>
      </x:c>
      <x:c r="F148" s="79" t="n">
        <x:v>36.7917</x:v>
      </x:c>
      <x:c r="G148" s="43"/>
      <x:c r="H148" s="43"/>
      <x:c r="I148" s="44" t="n">
        <x:f>IF(COUNT(F148:H148)=0,"",AVERAGE(F148:H148))</x:f>
        <x:v>36.7917</x:v>
      </x:c>
      <x:c r="J148" s="44" t="n">
        <x:f>IF(I148="","",I148-E148)</x:f>
        <x:v>1.6745940769142251</x:v>
      </x:c>
      <x:c r="K148" s="45" t="n">
        <x:f>IF(I148="","",J148/E148)</x:f>
        <x:v>0.047685993275811404</x:v>
      </x:c>
      <x:c r="L148" s="36" t="str">
        <x:v>Leitura real — sequência serpentina</x:v>
      </x:c>
    </x:row>
    <x:row r="149">
      <x:c r="A149" s="40" t="n">
        <x:v>137</x:v>
      </x:c>
      <x:c r="B149" s="41" t="n">
        <x:v>-0.8</x:v>
      </x:c>
      <x:c r="C149" s="41" t="n">
        <x:v>0</x:v>
      </x:c>
      <x:c r="D149" s="42" t="n">
        <x:v>9.124197882488433</x:v>
      </x:c>
      <x:c r="E149" s="42" t="n">
        <x:f>$B$5-D149</x:f>
        <x:v>34.97580211751157</x:v>
      </x:c>
      <x:c r="F149" s="79" t="n">
        <x:v>37.2824</x:v>
      </x:c>
      <x:c r="G149" s="43"/>
      <x:c r="H149" s="43"/>
      <x:c r="I149" s="44" t="n">
        <x:f>IF(COUNT(F149:H149)=0,"",AVERAGE(F149:H149))</x:f>
        <x:v>37.2824</x:v>
      </x:c>
      <x:c r="J149" s="44" t="n">
        <x:f>IF(I149="","",I149-E149)</x:f>
        <x:v>2.3065978824884326</x:v>
      </x:c>
      <x:c r="K149" s="45" t="n">
        <x:f>IF(I149="","",J149/E149)</x:f>
        <x:v>0.06594839125458034</x:v>
      </x:c>
      <x:c r="L149" s="36" t="str">
        <x:v>Leitura real — sequência serpentina</x:v>
      </x:c>
    </x:row>
    <x:row r="150">
      <x:c r="A150" s="40" t="n">
        <x:v>138</x:v>
      </x:c>
      <x:c r="B150" s="41" t="n">
        <x:v>-0.55</x:v>
      </x:c>
      <x:c r="C150" s="41" t="n">
        <x:v>0</x:v>
      </x:c>
      <x:c r="D150" s="42" t="n">
        <x:v>10.99097511441472</x:v>
      </x:c>
      <x:c r="E150" s="42" t="n">
        <x:f>$B$5-D150</x:f>
        <x:v>33.109024885585285</x:v>
      </x:c>
      <x:c r="F150" s="79" t="n">
        <x:v>37.2116</x:v>
      </x:c>
      <x:c r="G150" s="43"/>
      <x:c r="H150" s="43"/>
      <x:c r="I150" s="44" t="n">
        <x:f>IF(COUNT(F150:H150)=0,"",AVERAGE(F150:H150))</x:f>
        <x:v>37.2116</x:v>
      </x:c>
      <x:c r="J150" s="44" t="n">
        <x:f>IF(I150="","",I150-E150)</x:f>
        <x:v>4.102575114414712</x:v>
      </x:c>
      <x:c r="K150" s="45" t="n">
        <x:f>IF(I150="","",J150/E150)</x:f>
        <x:v>0.12391108250973755</x:v>
      </x:c>
      <x:c r="L150" s="36" t="str">
        <x:v>Leitura real — sequência serpentina</x:v>
      </x:c>
    </x:row>
    <x:row r="151">
      <x:c r="A151" s="40" t="n">
        <x:v>139</x:v>
      </x:c>
      <x:c r="B151" s="41" t="n">
        <x:v>-0.30000000000000004</x:v>
      </x:c>
      <x:c r="C151" s="41" t="n">
        <x:v>0</x:v>
      </x:c>
      <x:c r="D151" s="42" t="n">
        <x:v>14.09963263006948</x:v>
      </x:c>
      <x:c r="E151" s="42" t="n">
        <x:f>$B$5-D151</x:f>
        <x:v>30.000367369930522</x:v>
      </x:c>
      <x:c r="F151" s="79" t="n">
        <x:v>28.5143</x:v>
      </x:c>
      <x:c r="G151" s="43"/>
      <x:c r="H151" s="43"/>
      <x:c r="I151" s="44" t="n">
        <x:f>IF(COUNT(F151:H151)=0,"",AVERAGE(F151:H151))</x:f>
        <x:v>28.5143</x:v>
      </x:c>
      <x:c r="J151" s="44" t="n">
        <x:f>IF(I151="","",I151-E151)</x:f>
        <x:v>-1.4860673699305238</x:v>
      </x:c>
      <x:c r="K151" s="45" t="n">
        <x:f>IF(I151="","",J151/E151)</x:f>
        <x:v>-0.04953497240903838</x:v>
      </x:c>
      <x:c r="L151" s="36" t="str">
        <x:v>Leitura real — sequência serpentina</x:v>
      </x:c>
    </x:row>
    <x:row r="152">
      <x:c r="A152" s="40" t="n">
        <x:v>140</x:v>
      </x:c>
      <x:c r="B152" s="41" t="n">
        <x:v>-0.050000000000000044</x:v>
      </x:c>
      <x:c r="C152" s="41" t="n">
        <x:v>0</x:v>
      </x:c>
      <x:c r="D152" s="42" t="n">
        <x:v>20.374215450171448</x:v>
      </x:c>
      <x:c r="E152" s="42" t="n">
        <x:f>$B$5-D152</x:f>
        <x:v>23.725784549828553</x:v>
      </x:c>
      <x:c r="F152" s="79" t="n">
        <x:v>20.3707</x:v>
      </x:c>
      <x:c r="G152" s="43"/>
      <x:c r="H152" s="43"/>
      <x:c r="I152" s="44" t="n">
        <x:f>IF(COUNT(F152:H152)=0,"",AVERAGE(F152:H152))</x:f>
        <x:v>20.3707</x:v>
      </x:c>
      <x:c r="J152" s="44" t="n">
        <x:f>IF(I152="","",I152-E152)</x:f>
        <x:v>-3.355084549828554</x:v>
      </x:c>
      <x:c r="K152" s="45" t="n">
        <x:f>IF(I152="","",J152/E152)</x:f>
        <x:v>-0.14141090014461918</x:v>
      </x:c>
      <x:c r="L152" s="36" t="str">
        <x:v>Leitura real — sequência serpentina</x:v>
      </x:c>
    </x:row>
    <x:row r="153">
      <x:c r="A153" s="40" t="n">
        <x:v>141</x:v>
      </x:c>
      <x:c r="B153" s="41" t="n">
        <x:v>0.19999999999999996</x:v>
      </x:c>
      <x:c r="C153" s="41" t="n">
        <x:v>0</x:v>
      </x:c>
      <x:c r="D153" s="42" t="n">
        <x:v>28.22263569918686</x:v>
      </x:c>
      <x:c r="E153" s="42" t="n">
        <x:f>$B$5-D153</x:f>
        <x:v>15.877364300813142</x:v>
      </x:c>
      <x:c r="F153" s="79" t="n">
        <x:v>17.5407</x:v>
      </x:c>
      <x:c r="G153" s="43"/>
      <x:c r="H153" s="43"/>
      <x:c r="I153" s="44" t="n">
        <x:f>IF(COUNT(F153:H153)=0,"",AVERAGE(F153:H153))</x:f>
        <x:v>17.5407</x:v>
      </x:c>
      <x:c r="J153" s="44" t="n">
        <x:f>IF(I153="","",I153-E153)</x:f>
        <x:v>1.6633356991868595</x:v>
      </x:c>
      <x:c r="K153" s="45" t="n">
        <x:f>IF(I153="","",J153/E153)</x:f>
        <x:v>0.10476144955001591</x:v>
      </x:c>
      <x:c r="L153" s="36" t="str">
        <x:v>Leitura real — sequência serpentina</x:v>
      </x:c>
    </x:row>
    <x:row r="154">
      <x:c r="A154" s="40" t="n">
        <x:v>142</x:v>
      </x:c>
      <x:c r="B154" s="41" t="n">
        <x:v>0.44999999999999996</x:v>
      </x:c>
      <x:c r="C154" s="41" t="n">
        <x:v>0</x:v>
      </x:c>
      <x:c r="D154" s="42" t="n">
        <x:v>32.065294209837795</x:v>
      </x:c>
      <x:c r="E154" s="42" t="n">
        <x:f>$B$5-D154</x:f>
        <x:v>12.034705790162207</x:v>
      </x:c>
      <x:c r="F154" s="79" t="n">
        <x:v>11.0948</x:v>
      </x:c>
      <x:c r="G154" s="43"/>
      <x:c r="H154" s="43"/>
      <x:c r="I154" s="44" t="n">
        <x:f>IF(COUNT(F154:H154)=0,"",AVERAGE(F154:H154))</x:f>
        <x:v>11.0948</x:v>
      </x:c>
      <x:c r="J154" s="44" t="n">
        <x:f>IF(I154="","",I154-E154)</x:f>
        <x:v>-0.9399057901622072</x:v>
      </x:c>
      <x:c r="K154" s="45" t="n">
        <x:f>IF(I154="","",J154/E154)</x:f>
        <x:v>-0.07809960679973872</x:v>
      </x:c>
      <x:c r="L154" s="36" t="str">
        <x:v>Leitura real — sequência serpentina</x:v>
      </x:c>
    </x:row>
    <x:row r="155">
      <x:c r="A155" s="40" t="n">
        <x:v>143</x:v>
      </x:c>
      <x:c r="B155" s="41" t="n">
        <x:v>0.7</x:v>
      </x:c>
      <x:c r="C155" s="41" t="n">
        <x:v>0</x:v>
      </x:c>
      <x:c r="D155" s="42" t="n">
        <x:v>33.96022377823064</x:v>
      </x:c>
      <x:c r="E155" s="42" t="n">
        <x:f>$B$5-D155</x:f>
        <x:v>10.13977622176936</x:v>
      </x:c>
      <x:c r="F155" s="79" t="n">
        <x:v>10.2897</x:v>
      </x:c>
      <x:c r="G155" s="43"/>
      <x:c r="H155" s="43"/>
      <x:c r="I155" s="44" t="n">
        <x:f>IF(COUNT(F155:H155)=0,"",AVERAGE(F155:H155))</x:f>
        <x:v>10.2897</x:v>
      </x:c>
      <x:c r="J155" s="44" t="n">
        <x:f>IF(I155="","",I155-E155)</x:f>
        <x:v>0.14992377823064018</x:v>
      </x:c>
      <x:c r="K155" s="45" t="n">
        <x:f>IF(I155="","",J155/E155)</x:f>
        <x:v>0.014785708772227613</x:v>
      </x:c>
      <x:c r="L155" s="36" t="str">
        <x:v>Leitura real — sequência serpentina</x:v>
      </x:c>
    </x:row>
    <x:row r="156">
      <x:c r="A156" s="40" t="n">
        <x:v>144</x:v>
      </x:c>
      <x:c r="B156" s="41" t="n">
        <x:v>0.95</x:v>
      </x:c>
      <x:c r="C156" s="41" t="n">
        <x:v>0</x:v>
      </x:c>
      <x:c r="D156" s="42" t="n">
        <x:v>34.89344932957545</x:v>
      </x:c>
      <x:c r="E156" s="42" t="n">
        <x:f>$B$5-D156</x:f>
        <x:v>9.206550670424548</x:v>
      </x:c>
      <x:c r="F156" s="79" t="n">
        <x:v>9.408</x:v>
      </x:c>
      <x:c r="G156" s="43"/>
      <x:c r="H156" s="43"/>
      <x:c r="I156" s="44" t="n">
        <x:f>IF(COUNT(F156:H156)=0,"",AVERAGE(F156:H156))</x:f>
        <x:v>9.408</x:v>
      </x:c>
      <x:c r="J156" s="44" t="n">
        <x:f>IF(I156="","",I156-E156)</x:f>
        <x:v>0.20144932957545159</x:v>
      </x:c>
      <x:c r="K156" s="45" t="n">
        <x:f>IF(I156="","",J156/E156)</x:f>
        <x:v>0.021881086281596712</x:v>
      </x:c>
      <x:c r="L156" s="36" t="str">
        <x:v>Leitura real — sequência serpentina</x:v>
      </x:c>
    </x:row>
    <x:row r="157">
      <x:c r="A157" s="40" t="n">
        <x:v>145</x:v>
      </x:c>
      <x:c r="B157" s="41" t="n">
        <x:v>1.2</x:v>
      </x:c>
      <x:c r="C157" s="41" t="n">
        <x:v>0</x:v>
      </x:c>
      <x:c r="D157" s="42" t="n">
        <x:v>35.17862179518432</x:v>
      </x:c>
      <x:c r="E157" s="42" t="n">
        <x:f>$B$5-D157</x:f>
        <x:v>8.921378204815682</x:v>
      </x:c>
      <x:c r="F157" s="79" t="n">
        <x:v>8.464</x:v>
      </x:c>
      <x:c r="G157" s="43"/>
      <x:c r="H157" s="43"/>
      <x:c r="I157" s="44" t="n">
        <x:f>IF(COUNT(F157:H157)=0,"",AVERAGE(F157:H157))</x:f>
        <x:v>8.464</x:v>
      </x:c>
      <x:c r="J157" s="44" t="n">
        <x:f>IF(I157="","",I157-E157)</x:f>
        <x:v>-0.45737820481568114</x:v>
      </x:c>
      <x:c r="K157" s="45" t="n">
        <x:f>IF(I157="","",J157/E157)</x:f>
        <x:v>-0.051267662273166766</x:v>
      </x:c>
      <x:c r="L157" s="36" t="str">
        <x:v>Leitura real — sequência serpentina</x:v>
      </x:c>
    </x:row>
    <x:row r="158">
      <x:c r="A158" s="40" t="n">
        <x:v>146</x:v>
      </x:c>
      <x:c r="B158" s="41" t="n">
        <x:v>1.45</x:v>
      </x:c>
      <x:c r="C158" s="41" t="n">
        <x:v>0</x:v>
      </x:c>
      <x:c r="D158" s="42" t="n">
        <x:v>34.89344932957545</x:v>
      </x:c>
      <x:c r="E158" s="42" t="n">
        <x:f>$B$5-D158</x:f>
        <x:v>9.206550670424548</x:v>
      </x:c>
      <x:c r="F158" s="79" t="n">
        <x:v>10.1576</x:v>
      </x:c>
      <x:c r="G158" s="43"/>
      <x:c r="H158" s="43"/>
      <x:c r="I158" s="44" t="n">
        <x:f>IF(COUNT(F158:H158)=0,"",AVERAGE(F158:H158))</x:f>
        <x:v>10.1576</x:v>
      </x:c>
      <x:c r="J158" s="44" t="n">
        <x:f>IF(I158="","",I158-E158)</x:f>
        <x:v>0.9510493295754525</x:v>
      </x:c>
      <x:c r="K158" s="45" t="n">
        <x:f>IF(I158="","",J158/E158)</x:f>
        <x:v>0.1033013735133873</x:v>
      </x:c>
      <x:c r="L158" s="36" t="str">
        <x:v>Leitura real — sequência serpentina</x:v>
      </x:c>
    </x:row>
    <x:row r="159">
      <x:c r="A159" s="40" t="n">
        <x:v>147</x:v>
      </x:c>
      <x:c r="B159" s="41" t="n">
        <x:v>1.7</x:v>
      </x:c>
      <x:c r="C159" s="41" t="n">
        <x:v>0</x:v>
      </x:c>
      <x:c r="D159" s="42" t="n">
        <x:v>33.96022377823064</x:v>
      </x:c>
      <x:c r="E159" s="42" t="n">
        <x:f>$B$5-D159</x:f>
        <x:v>10.13977622176936</x:v>
      </x:c>
      <x:c r="F159" s="79" t="n">
        <x:v>11.1775</x:v>
      </x:c>
      <x:c r="G159" s="43"/>
      <x:c r="H159" s="43"/>
      <x:c r="I159" s="44" t="n">
        <x:f>IF(COUNT(F159:H159)=0,"",AVERAGE(F159:H159))</x:f>
        <x:v>11.1775</x:v>
      </x:c>
      <x:c r="J159" s="44" t="n">
        <x:f>IF(I159="","",I159-E159)</x:f>
        <x:v>1.0377237782306405</x:v>
      </x:c>
      <x:c r="K159" s="45" t="n">
        <x:f>IF(I159="","",J159/E159)</x:f>
        <x:v>0.10234188166822886</x:v>
      </x:c>
      <x:c r="L159" s="36" t="str">
        <x:v>Leitura real — sequência serpentina</x:v>
      </x:c>
    </x:row>
    <x:row r="160">
      <x:c r="A160" s="40" t="n">
        <x:v>148</x:v>
      </x:c>
      <x:c r="B160" s="41" t="n">
        <x:v>1.95</x:v>
      </x:c>
      <x:c r="C160" s="41" t="n">
        <x:v>0</x:v>
      </x:c>
      <x:c r="D160" s="42" t="n">
        <x:v>32.065294209837795</x:v>
      </x:c>
      <x:c r="E160" s="42" t="n">
        <x:f>$B$5-D160</x:f>
        <x:v>12.034705790162207</x:v>
      </x:c>
      <x:c r="F160" s="79" t="n">
        <x:v>12.5118</x:v>
      </x:c>
      <x:c r="G160" s="43"/>
      <x:c r="H160" s="43"/>
      <x:c r="I160" s="44" t="n">
        <x:f>IF(COUNT(F160:H160)=0,"",AVERAGE(F160:H160))</x:f>
        <x:v>12.5118</x:v>
      </x:c>
      <x:c r="J160" s="44" t="n">
        <x:f>IF(I160="","",I160-E160)</x:f>
        <x:v>0.4770942098377926</x:v>
      </x:c>
      <x:c r="K160" s="45" t="n">
        <x:f>IF(I160="","",J160/E160)</x:f>
        <x:v>0.039643196780746744</x:v>
      </x:c>
      <x:c r="L160" s="36" t="str">
        <x:v>Leitura real — sequência serpentina</x:v>
      </x:c>
    </x:row>
    <x:row r="161">
      <x:c r="A161" s="40" t="n">
        <x:v>149</x:v>
      </x:c>
      <x:c r="B161" s="41" t="n">
        <x:v>2.2</x:v>
      </x:c>
      <x:c r="C161" s="41" t="n">
        <x:v>0</x:v>
      </x:c>
      <x:c r="D161" s="42" t="n">
        <x:v>28.22263569918685</x:v>
      </x:c>
      <x:c r="E161" s="42" t="n">
        <x:f>$B$5-D161</x:f>
        <x:v>15.877364300813152</x:v>
      </x:c>
      <x:c r="F161" s="79" t="n">
        <x:v>15.9226</x:v>
      </x:c>
      <x:c r="G161" s="43"/>
      <x:c r="H161" s="43"/>
      <x:c r="I161" s="44" t="n">
        <x:f>IF(COUNT(F161:H161)=0,"",AVERAGE(F161:H161))</x:f>
        <x:v>15.9226</x:v>
      </x:c>
      <x:c r="J161" s="44" t="n">
        <x:f>IF(I161="","",I161-E161)</x:f>
        <x:v>0.045235699186847</x:v>
      </x:c>
      <x:c r="K161" s="45" t="n">
        <x:f>IF(I161="","",J161/E161)</x:f>
        <x:v>0.0028490685437336898</x:v>
      </x:c>
      <x:c r="L161" s="36" t="str">
        <x:v>Leitura real — sequência serpentina</x:v>
      </x:c>
    </x:row>
    <x:row r="162">
      <x:c r="A162" s="40" t="n">
        <x:v>150</x:v>
      </x:c>
      <x:c r="B162" s="41" t="n">
        <x:v>2.45</x:v>
      </x:c>
      <x:c r="C162" s="41" t="n">
        <x:v>0</x:v>
      </x:c>
      <x:c r="D162" s="42" t="n">
        <x:v>20.374215450171437</x:v>
      </x:c>
      <x:c r="E162" s="42" t="n">
        <x:f>$B$5-D162</x:f>
        <x:v>23.725784549828564</x:v>
      </x:c>
      <x:c r="F162" s="79" t="n">
        <x:v>24.1017</x:v>
      </x:c>
      <x:c r="G162" s="43"/>
      <x:c r="H162" s="43"/>
      <x:c r="I162" s="44" t="n">
        <x:f>IF(COUNT(F162:H162)=0,"",AVERAGE(F162:H162))</x:f>
        <x:v>24.1017</x:v>
      </x:c>
      <x:c r="J162" s="44" t="n">
        <x:f>IF(I162="","",I162-E162)</x:f>
        <x:v>0.375915450171437</x:v>
      </x:c>
      <x:c r="K162" s="45" t="n">
        <x:f>IF(I162="","",J162/E162)</x:f>
        <x:v>0.015844173640789185</x:v>
      </x:c>
      <x:c r="L162" s="36" t="str">
        <x:v>Leitura real — sequência serpentina</x:v>
      </x:c>
    </x:row>
    <x:row r="163">
      <x:c r="A163" s="40" t="n">
        <x:v>151</x:v>
      </x:c>
      <x:c r="B163" s="41" t="n">
        <x:v>2.7</x:v>
      </x:c>
      <x:c r="C163" s="41" t="n">
        <x:v>0</x:v>
      </x:c>
      <x:c r="D163" s="42" t="n">
        <x:v>14.099632630069477</x:v>
      </x:c>
      <x:c r="E163" s="42" t="n">
        <x:f>$B$5-D163</x:f>
        <x:v>30.000367369930522</x:v>
      </x:c>
      <x:c r="F163" s="79" t="n">
        <x:v>28.0567</x:v>
      </x:c>
      <x:c r="G163" s="43"/>
      <x:c r="H163" s="43"/>
      <x:c r="I163" s="44" t="n">
        <x:f>IF(COUNT(F163:H163)=0,"",AVERAGE(F163:H163))</x:f>
        <x:v>28.0567</x:v>
      </x:c>
      <x:c r="J163" s="44" t="n">
        <x:f>IF(I163="","",I163-E163)</x:f>
        <x:v>-1.9436673699305231</x:v>
      </x:c>
      <x:c r="K163" s="45" t="n">
        <x:f>IF(I163="","",J163/E163)</x:f>
        <x:v>-0.06478811895745877</x:v>
      </x:c>
      <x:c r="L163" s="36" t="str">
        <x:v>Leitura real — sequência serpentina</x:v>
      </x:c>
    </x:row>
    <x:row r="164">
      <x:c r="A164" s="40" t="n">
        <x:v>152</x:v>
      </x:c>
      <x:c r="B164" s="41" t="n">
        <x:v>2.95</x:v>
      </x:c>
      <x:c r="C164" s="41" t="n">
        <x:v>0</x:v>
      </x:c>
      <x:c r="D164" s="42" t="n">
        <x:v>10.990975114414718</x:v>
      </x:c>
      <x:c r="E164" s="42" t="n">
        <x:f>$B$5-D164</x:f>
        <x:v>33.109024885585285</x:v>
      </x:c>
      <x:c r="F164" s="79" t="n">
        <x:v>32.7027</x:v>
      </x:c>
      <x:c r="G164" s="43"/>
      <x:c r="H164" s="43"/>
      <x:c r="I164" s="44" t="n">
        <x:f>IF(COUNT(F164:H164)=0,"",AVERAGE(F164:H164))</x:f>
        <x:v>32.7027</x:v>
      </x:c>
      <x:c r="J164" s="44" t="n">
        <x:f>IF(I164="","",I164-E164)</x:f>
        <x:v>-0.4063248855852848</x:v>
      </x:c>
      <x:c r="K164" s="45" t="n">
        <x:f>IF(I164="","",J164/E164)</x:f>
        <x:v>-0.01227233018759749</x:v>
      </x:c>
      <x:c r="L164" s="36" t="str">
        <x:v>Leitura real — sequência serpentina</x:v>
      </x:c>
    </x:row>
    <x:row r="165">
      <x:c r="A165" s="40" t="n">
        <x:v>153</x:v>
      </x:c>
      <x:c r="B165" s="41" t="n">
        <x:v>3.2</x:v>
      </x:c>
      <x:c r="C165" s="41" t="n">
        <x:v>0</x:v>
      </x:c>
      <x:c r="D165" s="42" t="n">
        <x:v>9.12419788248843</x:v>
      </x:c>
      <x:c r="E165" s="42" t="n">
        <x:f>$B$5-D165</x:f>
        <x:v>34.97580211751157</x:v>
      </x:c>
      <x:c r="F165" s="79" t="n">
        <x:v>34.8147</x:v>
      </x:c>
      <x:c r="G165" s="43"/>
      <x:c r="H165" s="43"/>
      <x:c r="I165" s="44" t="n">
        <x:f>IF(COUNT(F165:H165)=0,"",AVERAGE(F165:H165))</x:f>
        <x:v>34.8147</x:v>
      </x:c>
      <x:c r="J165" s="44" t="n">
        <x:f>IF(I165="","",I165-E165)</x:f>
        <x:v>-0.1611021175115681</x:v>
      </x:c>
      <x:c r="K165" s="45" t="n">
        <x:f>IF(I165="","",J165/E165)</x:f>
        <x:v>-0.004606102155149947</x:v>
      </x:c>
      <x:c r="L165" s="36" t="str">
        <x:v>Leitura real — sequência serpentina</x:v>
      </x:c>
    </x:row>
    <x:row r="166">
      <x:c r="A166" s="40" t="n">
        <x:v>154</x:v>
      </x:c>
      <x:c r="B166" s="41" t="n">
        <x:v>-0.8</x:v>
      </x:c>
      <x:c r="C166" s="41" t="n">
        <x:v>0.25</x:v>
      </x:c>
      <x:c r="D166" s="42" t="n">
        <x:v>8.982894076914231</x:v>
      </x:c>
      <x:c r="E166" s="42" t="n">
        <x:f>$B$5-D166</x:f>
        <x:v>35.117105923085774</x:v>
      </x:c>
      <x:c r="F166" s="79" t="n">
        <x:v>38.0262</x:v>
      </x:c>
      <x:c r="G166" s="43"/>
      <x:c r="H166" s="43"/>
      <x:c r="I166" s="44" t="n">
        <x:f>IF(COUNT(F166:H166)=0,"",AVERAGE(F166:H166))</x:f>
        <x:v>38.0262</x:v>
      </x:c>
      <x:c r="J166" s="44" t="n">
        <x:f>IF(I166="","",I166-E166)</x:f>
        <x:v>2.9090940769142293</x:v>
      </x:c>
      <x:c r="K166" s="45" t="n">
        <x:f>IF(I166="","",J166/E166)</x:f>
        <x:v>0.08283980130042004</x:v>
      </x:c>
      <x:c r="L166" s="36" t="str">
        <x:v>Leitura real — sequência serpentina</x:v>
      </x:c>
    </x:row>
    <x:row r="167">
      <x:c r="A167" s="40" t="n">
        <x:v>155</x:v>
      </x:c>
      <x:c r="B167" s="41" t="n">
        <x:v>-0.55</x:v>
      </x:c>
      <x:c r="C167" s="41" t="n">
        <x:v>0.25</x:v>
      </x:c>
      <x:c r="D167" s="42" t="n">
        <x:v>10.703680167440217</x:v>
      </x:c>
      <x:c r="E167" s="42" t="n">
        <x:f>$B$5-D167</x:f>
        <x:v>33.39631983255978</x:v>
      </x:c>
      <x:c r="F167" s="79" t="n">
        <x:v>31.4446</x:v>
      </x:c>
      <x:c r="G167" s="43"/>
      <x:c r="H167" s="43"/>
      <x:c r="I167" s="44" t="n">
        <x:f>IF(COUNT(F167:H167)=0,"",AVERAGE(F167:H167))</x:f>
        <x:v>31.4446</x:v>
      </x:c>
      <x:c r="J167" s="44" t="n">
        <x:f>IF(I167="","",I167-E167)</x:f>
        <x:v>-1.9517198325597818</x:v>
      </x:c>
      <x:c r="K167" s="45" t="n">
        <x:f>IF(I167="","",J167/E167)</x:f>
        <x:v>-0.058441164845263883</x:v>
      </x:c>
      <x:c r="L167" s="36" t="str">
        <x:v>Leitura real — sequência serpentina</x:v>
      </x:c>
    </x:row>
    <x:row r="168">
      <x:c r="A168" s="40" t="n">
        <x:v>156</x:v>
      </x:c>
      <x:c r="B168" s="41" t="n">
        <x:v>-0.30000000000000004</x:v>
      </x:c>
      <x:c r="C168" s="41" t="n">
        <x:v>0.25</x:v>
      </x:c>
      <x:c r="D168" s="42" t="n">
        <x:v>13.328211216659662</x:v>
      </x:c>
      <x:c r="E168" s="42" t="n">
        <x:f>$B$5-D168</x:f>
        <x:v>30.77178878334034</x:v>
      </x:c>
      <x:c r="F168" s="79" t="n">
        <x:v>32.0748</x:v>
      </x:c>
      <x:c r="G168" s="43"/>
      <x:c r="H168" s="43"/>
      <x:c r="I168" s="44" t="n">
        <x:f>IF(COUNT(F168:H168)=0,"",AVERAGE(F168:H168))</x:f>
        <x:v>32.0748</x:v>
      </x:c>
      <x:c r="J168" s="44" t="n">
        <x:f>IF(I168="","",I168-E168)</x:f>
        <x:v>1.3030112166596624</x:v>
      </x:c>
      <x:c r="K168" s="45" t="n">
        <x:f>IF(I168="","",J168/E168)</x:f>
        <x:v>0.042344344224964414</x:v>
      </x:c>
      <x:c r="L168" s="36" t="str">
        <x:v>Leitura real — sequência serpentina</x:v>
      </x:c>
    </x:row>
    <x:row r="169">
      <x:c r="A169" s="40" t="n">
        <x:v>157</x:v>
      </x:c>
      <x:c r="B169" s="41" t="n">
        <x:v>-0.050000000000000044</x:v>
      </x:c>
      <x:c r="C169" s="41" t="n">
        <x:v>0.25</x:v>
      </x:c>
      <x:c r="D169" s="42" t="n">
        <x:v>17.40515016105068</x:v>
      </x:c>
      <x:c r="E169" s="42" t="n">
        <x:f>$B$5-D169</x:f>
        <x:v>26.69484983894932</x:v>
      </x:c>
      <x:c r="F169" s="79" t="n">
        <x:v>27.9027</x:v>
      </x:c>
      <x:c r="G169" s="43"/>
      <x:c r="H169" s="43"/>
      <x:c r="I169" s="44" t="n">
        <x:f>IF(COUNT(F169:H169)=0,"",AVERAGE(F169:H169))</x:f>
        <x:v>27.9027</x:v>
      </x:c>
      <x:c r="J169" s="44" t="n">
        <x:f>IF(I169="","",I169-E169)</x:f>
        <x:v>1.207850161050679</x:v>
      </x:c>
      <x:c r="K169" s="45" t="n">
        <x:f>IF(I169="","",J169/E169)</x:f>
        <x:v>0.04524656135313248</x:v>
      </x:c>
      <x:c r="L169" s="36" t="str">
        <x:v>Leitura real — sequência serpentina</x:v>
      </x:c>
    </x:row>
    <x:row r="170">
      <x:c r="A170" s="40" t="n">
        <x:v>158</x:v>
      </x:c>
      <x:c r="B170" s="41" t="n">
        <x:v>0.19999999999999996</x:v>
      </x:c>
      <x:c r="C170" s="41" t="n">
        <x:v>0.25</x:v>
      </x:c>
      <x:c r="D170" s="42" t="n">
        <x:v>21.906503211219935</x:v>
      </x:c>
      <x:c r="E170" s="42" t="n">
        <x:f>$B$5-D170</x:f>
        <x:v>22.193496788780067</x:v>
      </x:c>
      <x:c r="F170" s="79" t="n">
        <x:v>20.8454</x:v>
      </x:c>
      <x:c r="G170" s="43"/>
      <x:c r="H170" s="43"/>
      <x:c r="I170" s="44" t="n">
        <x:f>IF(COUNT(F170:H170)=0,"",AVERAGE(F170:H170))</x:f>
        <x:v>20.8454</x:v>
      </x:c>
      <x:c r="J170" s="44" t="n">
        <x:f>IF(I170="","",I170-E170)</x:f>
        <x:v>-1.3480967887800652</x:v>
      </x:c>
      <x:c r="K170" s="45" t="n">
        <x:f>IF(I170="","",J170/E170)</x:f>
        <x:v>-0.060742874437956805</x:v>
      </x:c>
      <x:c r="L170" s="36" t="str">
        <x:v>Leitura real — sequência serpentina</x:v>
      </x:c>
    </x:row>
    <x:row r="171">
      <x:c r="A171" s="40" t="n">
        <x:v>159</x:v>
      </x:c>
      <x:c r="B171" s="41" t="n">
        <x:v>0.44999999999999996</x:v>
      </x:c>
      <x:c r="C171" s="41" t="n">
        <x:v>0.25</x:v>
      </x:c>
      <x:c r="D171" s="42" t="n">
        <x:v>24.8781483152137</x:v>
      </x:c>
      <x:c r="E171" s="42" t="n">
        <x:f>$B$5-D171</x:f>
        <x:v>19.2218516847863</x:v>
      </x:c>
      <x:c r="F171" s="79" t="n">
        <x:v>22.3348</x:v>
      </x:c>
      <x:c r="G171" s="43"/>
      <x:c r="H171" s="43"/>
      <x:c r="I171" s="44" t="n">
        <x:f>IF(COUNT(F171:H171)=0,"",AVERAGE(F171:H171))</x:f>
        <x:v>22.3348</x:v>
      </x:c>
      <x:c r="J171" s="44" t="n">
        <x:f>IF(I171="","",I171-E171)</x:f>
        <x:v>3.1129483152137</x:v>
      </x:c>
      <x:c r="K171" s="45" t="n">
        <x:f>IF(I171="","",J171/E171)</x:f>
        <x:v>0.16194840987549258</x:v>
      </x:c>
      <x:c r="L171" s="36" t="str">
        <x:v>Leitura real — sequência serpentina</x:v>
      </x:c>
    </x:row>
    <x:row r="172">
      <x:c r="A172" s="40" t="n">
        <x:v>160</x:v>
      </x:c>
      <x:c r="B172" s="41" t="n">
        <x:v>0.7</x:v>
      </x:c>
      <x:c r="C172" s="41" t="n">
        <x:v>0.25</x:v>
      </x:c>
      <x:c r="D172" s="42" t="n">
        <x:v>26.55396872662436</x:v>
      </x:c>
      <x:c r="E172" s="42" t="n">
        <x:f>$B$5-D172</x:f>
        <x:v>17.546031273375643</x:v>
      </x:c>
      <x:c r="F172" s="79" t="n">
        <x:v>16.4634</x:v>
      </x:c>
      <x:c r="G172" s="43"/>
      <x:c r="H172" s="43"/>
      <x:c r="I172" s="44" t="n">
        <x:f>IF(COUNT(F172:H172)=0,"",AVERAGE(F172:H172))</x:f>
        <x:v>16.4634</x:v>
      </x:c>
      <x:c r="J172" s="44" t="n">
        <x:f>IF(I172="","",I172-E172)</x:f>
        <x:v>-1.0826312733756431</x:v>
      </x:c>
      <x:c r="K172" s="45" t="n">
        <x:f>IF(I172="","",J172/E172)</x:f>
        <x:v>-0.06170234490681824</x:v>
      </x:c>
      <x:c r="L172" s="36" t="str">
        <x:v>Leitura real — sequência serpentina</x:v>
      </x:c>
    </x:row>
    <x:row r="173">
      <x:c r="A173" s="40" t="n">
        <x:v>161</x:v>
      </x:c>
      <x:c r="B173" s="41" t="n">
        <x:v>0.95</x:v>
      </x:c>
      <x:c r="C173" s="41" t="n">
        <x:v>0.25</x:v>
      </x:c>
      <x:c r="D173" s="42" t="n">
        <x:v>27.41561398121956</x:v>
      </x:c>
      <x:c r="E173" s="42" t="n">
        <x:f>$B$5-D173</x:f>
        <x:v>16.68438601878044</x:v>
      </x:c>
      <x:c r="F173" s="79" t="n">
        <x:v>17.2536</x:v>
      </x:c>
      <x:c r="G173" s="43"/>
      <x:c r="H173" s="43"/>
      <x:c r="I173" s="44" t="n">
        <x:f>IF(COUNT(F173:H173)=0,"",AVERAGE(F173:H173))</x:f>
        <x:v>17.2536</x:v>
      </x:c>
      <x:c r="J173" s="44" t="n">
        <x:f>IF(I173="","",I173-E173)</x:f>
        <x:v>0.5692139812195585</x:v>
      </x:c>
      <x:c r="K173" s="45" t="n">
        <x:f>IF(I173="","",J173/E173)</x:f>
        <x:v>0.03411656746486411</x:v>
      </x:c>
      <x:c r="L173" s="36" t="str">
        <x:v>Leitura real — sequência serpentina</x:v>
      </x:c>
    </x:row>
    <x:row r="174">
      <x:c r="A174" s="40" t="n">
        <x:v>162</x:v>
      </x:c>
      <x:c r="B174" s="41" t="n">
        <x:v>1.2</x:v>
      </x:c>
      <x:c r="C174" s="41" t="n">
        <x:v>0.25</x:v>
      </x:c>
      <x:c r="D174" s="42" t="n">
        <x:v>27.68270505730121</x:v>
      </x:c>
      <x:c r="E174" s="42" t="n">
        <x:f>$B$5-D174</x:f>
        <x:v>16.417294942698792</x:v>
      </x:c>
      <x:c r="F174" s="79" t="n">
        <x:v>19.24</x:v>
      </x:c>
      <x:c r="G174" s="43"/>
      <x:c r="H174" s="43"/>
      <x:c r="I174" s="44" t="n">
        <x:f>IF(COUNT(F174:H174)=0,"",AVERAGE(F174:H174))</x:f>
        <x:v>19.24</x:v>
      </x:c>
      <x:c r="J174" s="44" t="n">
        <x:f>IF(I174="","",I174-E174)</x:f>
        <x:v>2.8227050573012065</x:v>
      </x:c>
      <x:c r="K174" s="45" t="n">
        <x:f>IF(I174="","",J174/E174)</x:f>
        <x:v>0.17193484475690304</x:v>
      </x:c>
      <x:c r="L174" s="36" t="str">
        <x:v>Leitura real — sequência serpentina</x:v>
      </x:c>
    </x:row>
    <x:row r="175">
      <x:c r="A175" s="40" t="n">
        <x:v>163</x:v>
      </x:c>
      <x:c r="B175" s="41" t="n">
        <x:v>1.45</x:v>
      </x:c>
      <x:c r="C175" s="41" t="n">
        <x:v>0.25</x:v>
      </x:c>
      <x:c r="D175" s="42" t="n">
        <x:v>27.41561398121956</x:v>
      </x:c>
      <x:c r="E175" s="42" t="n">
        <x:f>$B$5-D175</x:f>
        <x:v>16.68438601878044</x:v>
      </x:c>
      <x:c r="F175" s="79" t="n">
        <x:v>17.2899</x:v>
      </x:c>
      <x:c r="G175" s="43"/>
      <x:c r="H175" s="43"/>
      <x:c r="I175" s="44" t="n">
        <x:f>IF(COUNT(F175:H175)=0,"",AVERAGE(F175:H175))</x:f>
        <x:v>17.2899</x:v>
      </x:c>
      <x:c r="J175" s="44" t="n">
        <x:f>IF(I175="","",I175-E175)</x:f>
        <x:v>0.6055139812195591</x:v>
      </x:c>
      <x:c r="K175" s="45" t="n">
        <x:f>IF(I175="","",J175/E175)</x:f>
        <x:v>0.03629225435913402</x:v>
      </x:c>
      <x:c r="L175" s="36" t="str">
        <x:v>Leitura real — sequência serpentina</x:v>
      </x:c>
    </x:row>
    <x:row r="176">
      <x:c r="A176" s="40" t="n">
        <x:v>164</x:v>
      </x:c>
      <x:c r="B176" s="41" t="n">
        <x:v>1.7</x:v>
      </x:c>
      <x:c r="C176" s="41" t="n">
        <x:v>0.25</x:v>
      </x:c>
      <x:c r="D176" s="42" t="n">
        <x:v>26.55396872662436</x:v>
      </x:c>
      <x:c r="E176" s="42" t="n">
        <x:f>$B$5-D176</x:f>
        <x:v>17.546031273375643</x:v>
      </x:c>
      <x:c r="F176" s="79" t="n">
        <x:v>18.3219</x:v>
      </x:c>
      <x:c r="G176" s="43"/>
      <x:c r="H176" s="43"/>
      <x:c r="I176" s="44" t="n">
        <x:f>IF(COUNT(F176:H176)=0,"",AVERAGE(F176:H176))</x:f>
        <x:v>18.3219</x:v>
      </x:c>
      <x:c r="J176" s="44" t="n">
        <x:f>IF(I176="","",I176-E176)</x:f>
        <x:v>0.7758687266243562</x:v>
      </x:c>
      <x:c r="K176" s="45" t="n">
        <x:f>IF(I176="","",J176/E176)</x:f>
        <x:v>0.04421904387014629</x:v>
      </x:c>
      <x:c r="L176" s="36" t="str">
        <x:v>Leitura real — sequência serpentina</x:v>
      </x:c>
    </x:row>
    <x:row r="177">
      <x:c r="A177" s="40" t="n">
        <x:v>165</x:v>
      </x:c>
      <x:c r="B177" s="41" t="n">
        <x:v>1.95</x:v>
      </x:c>
      <x:c r="C177" s="41" t="n">
        <x:v>0.25</x:v>
      </x:c>
      <x:c r="D177" s="42" t="n">
        <x:v>24.8781483152137</x:v>
      </x:c>
      <x:c r="E177" s="42" t="n">
        <x:f>$B$5-D177</x:f>
        <x:v>19.2218516847863</x:v>
      </x:c>
      <x:c r="F177" s="79" t="n">
        <x:v>19.7869</x:v>
      </x:c>
      <x:c r="G177" s="43"/>
      <x:c r="H177" s="43"/>
      <x:c r="I177" s="44" t="n">
        <x:f>IF(COUNT(F177:H177)=0,"",AVERAGE(F177:H177))</x:f>
        <x:v>19.7869</x:v>
      </x:c>
      <x:c r="J177" s="44" t="n">
        <x:f>IF(I177="","",I177-E177)</x:f>
        <x:v>0.5650483152136978</x:v>
      </x:c>
      <x:c r="K177" s="45" t="n">
        <x:f>IF(I177="","",J177/E177)</x:f>
        <x:v>0.02939614374721879</x:v>
      </x:c>
      <x:c r="L177" s="36" t="str">
        <x:v>Leitura real — sequência serpentina</x:v>
      </x:c>
    </x:row>
    <x:row r="178">
      <x:c r="A178" s="40" t="n">
        <x:v>166</x:v>
      </x:c>
      <x:c r="B178" s="41" t="n">
        <x:v>2.2</x:v>
      </x:c>
      <x:c r="C178" s="41" t="n">
        <x:v>0.25</x:v>
      </x:c>
      <x:c r="D178" s="42" t="n">
        <x:v>21.90650321121993</x:v>
      </x:c>
      <x:c r="E178" s="42" t="n">
        <x:f>$B$5-D178</x:f>
        <x:v>22.19349678878007</x:v>
      </x:c>
      <x:c r="F178" s="79" t="n">
        <x:v>19.0675</x:v>
      </x:c>
      <x:c r="G178" s="43"/>
      <x:c r="H178" s="43"/>
      <x:c r="I178" s="44" t="n">
        <x:f>IF(COUNT(F178:H178)=0,"",AVERAGE(F178:H178))</x:f>
        <x:v>19.0675</x:v>
      </x:c>
      <x:c r="J178" s="44" t="n">
        <x:f>IF(I178="","",I178-E178)</x:f>
        <x:v>-3.1259967887800713</x:v>
      </x:c>
      <x:c r="K178" s="45" t="n">
        <x:f>IF(I178="","",J178/E178)</x:f>
        <x:v>-0.140851926964498</x:v>
      </x:c>
      <x:c r="L178" s="36" t="str">
        <x:v>Leitura real — sequência serpentina</x:v>
      </x:c>
    </x:row>
    <x:row r="179">
      <x:c r="A179" s="40" t="n">
        <x:v>167</x:v>
      </x:c>
      <x:c r="B179" s="41" t="n">
        <x:v>2.45</x:v>
      </x:c>
      <x:c r="C179" s="41" t="n">
        <x:v>0.25</x:v>
      </x:c>
      <x:c r="D179" s="42" t="n">
        <x:v>17.405150161050674</x:v>
      </x:c>
      <x:c r="E179" s="42" t="n">
        <x:f>$B$5-D179</x:f>
        <x:v>26.694849838949327</x:v>
      </x:c>
      <x:c r="F179" s="79" t="n">
        <x:v>25.9309</x:v>
      </x:c>
      <x:c r="G179" s="43"/>
      <x:c r="H179" s="43"/>
      <x:c r="I179" s="44" t="n">
        <x:f>IF(COUNT(F179:H179)=0,"",AVERAGE(F179:H179))</x:f>
        <x:v>25.9309</x:v>
      </x:c>
      <x:c r="J179" s="44" t="n">
        <x:f>IF(I179="","",I179-E179)</x:f>
        <x:v>-0.7639498389493262</x:v>
      </x:c>
      <x:c r="K179" s="45" t="n">
        <x:f>IF(I179="","",J179/E179)</x:f>
        <x:v>-0.028617873618254235</x:v>
      </x:c>
      <x:c r="L179" s="36" t="str">
        <x:v>Leitura real — sequência serpentina</x:v>
      </x:c>
    </x:row>
    <x:row r="180">
      <x:c r="A180" s="40" t="n">
        <x:v>168</x:v>
      </x:c>
      <x:c r="B180" s="41" t="n">
        <x:v>2.7</x:v>
      </x:c>
      <x:c r="C180" s="41" t="n">
        <x:v>0.25</x:v>
      </x:c>
      <x:c r="D180" s="42" t="n">
        <x:v>13.32821121665966</x:v>
      </x:c>
      <x:c r="E180" s="42" t="n">
        <x:f>$B$5-D180</x:f>
        <x:v>30.77178878334034</x:v>
      </x:c>
      <x:c r="F180" s="79" t="n">
        <x:v>28.049</x:v>
      </x:c>
      <x:c r="G180" s="43"/>
      <x:c r="H180" s="43"/>
      <x:c r="I180" s="44" t="n">
        <x:f>IF(COUNT(F180:H180)=0,"",AVERAGE(F180:H180))</x:f>
        <x:v>28.049</x:v>
      </x:c>
      <x:c r="J180" s="44" t="n">
        <x:f>IF(I180="","",I180-E180)</x:f>
        <x:v>-2.7227887833403415</x:v>
      </x:c>
      <x:c r="K180" s="45" t="n">
        <x:f>IF(I180="","",J180/E180)</x:f>
        <x:v>-0.08848327936055647</x:v>
      </x:c>
      <x:c r="L180" s="36" t="str">
        <x:v>Leitura real — sequência serpentina</x:v>
      </x:c>
    </x:row>
    <x:row r="181">
      <x:c r="A181" s="40" t="n">
        <x:v>169</x:v>
      </x:c>
      <x:c r="B181" s="41" t="n">
        <x:v>2.95</x:v>
      </x:c>
      <x:c r="C181" s="41" t="n">
        <x:v>0.25</x:v>
      </x:c>
      <x:c r="D181" s="42" t="n">
        <x:v>10.703680167440213</x:v>
      </x:c>
      <x:c r="E181" s="42" t="n">
        <x:f>$B$5-D181</x:f>
        <x:v>33.39631983255979</x:v>
      </x:c>
      <x:c r="F181" s="79" t="n">
        <x:v>35.1793</x:v>
      </x:c>
      <x:c r="G181" s="43"/>
      <x:c r="H181" s="43"/>
      <x:c r="I181" s="44" t="n">
        <x:f>IF(COUNT(F181:H181)=0,"",AVERAGE(F181:H181))</x:f>
        <x:v>35.1793</x:v>
      </x:c>
      <x:c r="J181" s="44" t="n">
        <x:f>IF(I181="","",I181-E181)</x:f>
        <x:v>1.7829801674402077</x:v>
      </x:c>
      <x:c r="K181" s="45" t="n">
        <x:f>IF(I181="","",J181/E181)</x:f>
        <x:v>0.05338852233957493</x:v>
      </x:c>
      <x:c r="L181" s="36" t="str">
        <x:v>Leitura real — sequência serpentina</x:v>
      </x:c>
    </x:row>
    <x:row r="182">
      <x:c r="A182" s="40" t="n">
        <x:v>170</x:v>
      </x:c>
      <x:c r="B182" s="41" t="n">
        <x:v>3.2</x:v>
      </x:c>
      <x:c r="C182" s="41" t="n">
        <x:v>0.25</x:v>
      </x:c>
      <x:c r="D182" s="42" t="n">
        <x:v>8.982894076914228</x:v>
      </x:c>
      <x:c r="E182" s="42" t="n">
        <x:f>$B$5-D182</x:f>
        <x:v>35.117105923085774</x:v>
      </x:c>
      <x:c r="F182" s="79" t="n">
        <x:v>33.3036</x:v>
      </x:c>
      <x:c r="G182" s="43"/>
      <x:c r="H182" s="43"/>
      <x:c r="I182" s="44" t="n">
        <x:f>IF(COUNT(F182:H182)=0,"",AVERAGE(F182:H182))</x:f>
        <x:v>33.3036</x:v>
      </x:c>
      <x:c r="J182" s="44" t="n">
        <x:f>IF(I182="","",I182-E182)</x:f>
        <x:v>-1.8135059230857706</x:v>
      </x:c>
      <x:c r="K182" s="45" t="n">
        <x:f>IF(I182="","",J182/E182)</x:f>
        <x:v>-0.05164166793977128</x:v>
      </x:c>
      <x:c r="L182" s="36" t="str">
        <x:v>Leitura real — sequência serpentina</x:v>
      </x:c>
    </x:row>
    <x:row r="183">
      <x:c r="A183" s="40" t="n">
        <x:v>171</x:v>
      </x:c>
      <x:c r="B183" s="41" t="n">
        <x:v>-0.8</x:v>
      </x:c>
      <x:c r="C183" s="41" t="n">
        <x:v>0.5</x:v>
      </x:c>
      <x:c r="D183" s="42" t="n">
        <x:v>8.611109121170486</x:v>
      </x:c>
      <x:c r="E183" s="42" t="n">
        <x:f>$B$5-D183</x:f>
        <x:v>35.488890878829515</x:v>
      </x:c>
      <x:c r="F183" s="79" t="n">
        <x:v>36.1381</x:v>
      </x:c>
      <x:c r="G183" s="43"/>
      <x:c r="H183" s="43"/>
      <x:c r="I183" s="44" t="n">
        <x:f>IF(COUNT(F183:H183)=0,"",AVERAGE(F183:H183))</x:f>
        <x:v>36.1381</x:v>
      </x:c>
      <x:c r="J183" s="44" t="n">
        <x:f>IF(I183="","",I183-E183)</x:f>
        <x:v>0.649209121170486</x:v>
      </x:c>
      <x:c r="K183" s="45" t="n">
        <x:f>IF(I183="","",J183/E183)</x:f>
        <x:v>0.01829330545682858</x:v>
      </x:c>
      <x:c r="L183" s="36" t="str">
        <x:v>Leitura real — sequência serpentina</x:v>
      </x:c>
    </x:row>
    <x:row r="184">
      <x:c r="A184" s="40" t="n">
        <x:v>172</x:v>
      </x:c>
      <x:c r="B184" s="41" t="n">
        <x:v>-0.55</x:v>
      </x:c>
      <x:c r="C184" s="41" t="n">
        <x:v>0.5</x:v>
      </x:c>
      <x:c r="D184" s="42" t="n">
        <x:v>10.019726851622163</x:v>
      </x:c>
      <x:c r="E184" s="42" t="n">
        <x:f>$B$5-D184</x:f>
        <x:v>34.08027314837784</x:v>
      </x:c>
      <x:c r="F184" s="79" t="n">
        <x:v>35.1657</x:v>
      </x:c>
      <x:c r="G184" s="43"/>
      <x:c r="H184" s="43"/>
      <x:c r="I184" s="44" t="n">
        <x:f>IF(COUNT(F184:H184)=0,"",AVERAGE(F184:H184))</x:f>
        <x:v>35.1657</x:v>
      </x:c>
      <x:c r="J184" s="44" t="n">
        <x:f>IF(I184="","",I184-E184)</x:f>
        <x:v>1.0854268516221595</x:v>
      </x:c>
      <x:c r="K184" s="45" t="n">
        <x:f>IF(I184="","",J184/E184)</x:f>
        <x:v>0.03184912418091414</x:v>
      </x:c>
      <x:c r="L184" s="36" t="str">
        <x:v>Leitura real — sequência serpentina</x:v>
      </x:c>
    </x:row>
    <x:row r="185">
      <x:c r="A185" s="40" t="n">
        <x:v>173</x:v>
      </x:c>
      <x:c r="B185" s="41" t="n">
        <x:v>-0.30000000000000004</x:v>
      </x:c>
      <x:c r="C185" s="41" t="n">
        <x:v>0.5</x:v>
      </x:c>
      <x:c r="D185" s="42" t="n">
        <x:v>11.890416054421527</x:v>
      </x:c>
      <x:c r="E185" s="42" t="n">
        <x:f>$B$5-D185</x:f>
        <x:v>32.20958394557847</x:v>
      </x:c>
      <x:c r="F185" s="79" t="n">
        <x:v>30.7478</x:v>
      </x:c>
      <x:c r="G185" s="43"/>
      <x:c r="H185" s="43"/>
      <x:c r="I185" s="44" t="n">
        <x:f>IF(COUNT(F185:H185)=0,"",AVERAGE(F185:H185))</x:f>
        <x:v>30.7478</x:v>
      </x:c>
      <x:c r="J185" s="44" t="n">
        <x:f>IF(I185="","",I185-E185)</x:f>
        <x:v>-1.4617839455784711</x:v>
      </x:c>
      <x:c r="K185" s="45" t="n">
        <x:f>IF(I185="","",J185/E185)</x:f>
        <x:v>-0.045383509083765594</x:v>
      </x:c>
      <x:c r="L185" s="36" t="str">
        <x:v>Leitura real — sequência serpentina</x:v>
      </x:c>
    </x:row>
    <x:row r="186">
      <x:c r="A186" s="40" t="n">
        <x:v>174</x:v>
      </x:c>
      <x:c r="B186" s="41" t="n">
        <x:v>-0.050000000000000044</x:v>
      </x:c>
      <x:c r="C186" s="41" t="n">
        <x:v>0.5</x:v>
      </x:c>
      <x:c r="D186" s="42" t="n">
        <x:v>14.221611343618868</x:v>
      </x:c>
      <x:c r="E186" s="42" t="n">
        <x:f>$B$5-D186</x:f>
        <x:v>29.878388656381134</x:v>
      </x:c>
      <x:c r="F186" s="79" t="n">
        <x:v>32.1989</x:v>
      </x:c>
      <x:c r="G186" s="43"/>
      <x:c r="H186" s="43"/>
      <x:c r="I186" s="44" t="n">
        <x:f>IF(COUNT(F186:H186)=0,"",AVERAGE(F186:H186))</x:f>
        <x:v>32.1989</x:v>
      </x:c>
      <x:c r="J186" s="44" t="n">
        <x:f>IF(I186="","",I186-E186)</x:f>
        <x:v>2.3205113436188682</x:v>
      </x:c>
      <x:c r="K186" s="45" t="n">
        <x:f>IF(I186="","",J186/E186)</x:f>
        <x:v>0.07766521047390137</x:v>
      </x:c>
      <x:c r="L186" s="36" t="str">
        <x:v>Leitura real — sequência serpentina</x:v>
      </x:c>
    </x:row>
    <x:row r="187">
      <x:c r="A187" s="40" t="n">
        <x:v>175</x:v>
      </x:c>
      <x:c r="B187" s="41" t="n">
        <x:v>0.19999999999999996</x:v>
      </x:c>
      <x:c r="C187" s="41" t="n">
        <x:v>0.5</x:v>
      </x:c>
      <x:c r="D187" s="42" t="n">
        <x:v>16.60752154550849</x:v>
      </x:c>
      <x:c r="E187" s="42" t="n">
        <x:f>$B$5-D187</x:f>
        <x:v>27.49247845449151</x:v>
      </x:c>
      <x:c r="F187" s="79" t="n">
        <x:v>25.9419</x:v>
      </x:c>
      <x:c r="G187" s="43"/>
      <x:c r="H187" s="43"/>
      <x:c r="I187" s="44" t="n">
        <x:f>IF(COUNT(F187:H187)=0,"",AVERAGE(F187:H187))</x:f>
        <x:v>25.9419</x:v>
      </x:c>
      <x:c r="J187" s="44" t="n">
        <x:f>IF(I187="","",I187-E187)</x:f>
        <x:v>-1.5505784544915109</x:v>
      </x:c>
      <x:c r="K187" s="45" t="n">
        <x:f>IF(I187="","",J187/E187)</x:f>
        <x:v>-0.0564000971050389</x:v>
      </x:c>
      <x:c r="L187" s="36" t="str">
        <x:v>Leitura real — sequência serpentina</x:v>
      </x:c>
    </x:row>
    <x:row r="188">
      <x:c r="A188" s="40" t="n">
        <x:v>176</x:v>
      </x:c>
      <x:c r="B188" s="41" t="n">
        <x:v>0.44999999999999996</x:v>
      </x:c>
      <x:c r="C188" s="41" t="n">
        <x:v>0.5</x:v>
      </x:c>
      <x:c r="D188" s="42" t="n">
        <x:v>18.502509228938173</x:v>
      </x:c>
      <x:c r="E188" s="42" t="n">
        <x:f>$B$5-D188</x:f>
        <x:v>25.59749077106183</x:v>
      </x:c>
      <x:c r="F188" s="79" t="n">
        <x:v>22.7023</x:v>
      </x:c>
      <x:c r="G188" s="43"/>
      <x:c r="H188" s="43"/>
      <x:c r="I188" s="44" t="n">
        <x:f>IF(COUNT(F188:H188)=0,"",AVERAGE(F188:H188))</x:f>
        <x:v>22.7023</x:v>
      </x:c>
      <x:c r="J188" s="44" t="n">
        <x:f>IF(I188="","",I188-E188)</x:f>
        <x:v>-2.895190771061827</x:v>
      </x:c>
      <x:c r="K188" s="45" t="n">
        <x:f>IF(I188="","",J188/E188)</x:f>
        <x:v>-0.11310447562832462</x:v>
      </x:c>
      <x:c r="L188" s="36" t="str">
        <x:v>Leitura real — sequência serpentina</x:v>
      </x:c>
    </x:row>
    <x:row r="189">
      <x:c r="A189" s="40" t="n">
        <x:v>177</x:v>
      </x:c>
      <x:c r="B189" s="41" t="n">
        <x:v>0.7</x:v>
      </x:c>
      <x:c r="C189" s="41" t="n">
        <x:v>0.5</x:v>
      </x:c>
      <x:c r="D189" s="42" t="n">
        <x:v>19.75786695092615</x:v>
      </x:c>
      <x:c r="E189" s="42" t="n">
        <x:f>$B$5-D189</x:f>
        <x:v>24.34213304907385</x:v>
      </x:c>
      <x:c r="F189" s="79" t="n">
        <x:v>26.4404</x:v>
      </x:c>
      <x:c r="G189" s="43"/>
      <x:c r="H189" s="43"/>
      <x:c r="I189" s="44" t="n">
        <x:f>IF(COUNT(F189:H189)=0,"",AVERAGE(F189:H189))</x:f>
        <x:v>26.4404</x:v>
      </x:c>
      <x:c r="J189" s="44" t="n">
        <x:f>IF(I189="","",I189-E189)</x:f>
        <x:v>2.098266950926149</x:v>
      </x:c>
      <x:c r="K189" s="45" t="n">
        <x:f>IF(I189="","",J189/E189)</x:f>
        <x:v>0.0861989763467332</x:v>
      </x:c>
      <x:c r="L189" s="36" t="str">
        <x:v>Leitura real — sequência serpentina</x:v>
      </x:c>
    </x:row>
    <x:row r="190">
      <x:c r="A190" s="40" t="n">
        <x:v>178</x:v>
      </x:c>
      <x:c r="B190" s="41" t="n">
        <x:v>0.95</x:v>
      </x:c>
      <x:c r="C190" s="41" t="n">
        <x:v>0.5</x:v>
      </x:c>
      <x:c r="D190" s="42" t="n">
        <x:v>20.455905226829206</x:v>
      </x:c>
      <x:c r="E190" s="42" t="n">
        <x:f>$B$5-D190</x:f>
        <x:v>23.644094773170796</x:v>
      </x:c>
      <x:c r="F190" s="79" t="n">
        <x:v>22.973</x:v>
      </x:c>
      <x:c r="G190" s="43"/>
      <x:c r="H190" s="43"/>
      <x:c r="I190" s="44" t="n">
        <x:f>IF(COUNT(F190:H190)=0,"",AVERAGE(F190:H190))</x:f>
        <x:v>22.973</x:v>
      </x:c>
      <x:c r="J190" s="44" t="n">
        <x:f>IF(I190="","",I190-E190)</x:f>
        <x:v>-0.6710947731707968</x:v>
      </x:c>
      <x:c r="K190" s="45" t="n">
        <x:f>IF(I190="","",J190/E190)</x:f>
        <x:v>-0.028383187413556433</x:v>
      </x:c>
      <x:c r="L190" s="36" t="str">
        <x:v>Leitura real — sequência serpentina</x:v>
      </x:c>
    </x:row>
    <x:row r="191">
      <x:c r="A191" s="40" t="n">
        <x:v>179</x:v>
      </x:c>
      <x:c r="B191" s="41" t="n">
        <x:v>1.2</x:v>
      </x:c>
      <x:c r="C191" s="41" t="n">
        <x:v>0.5</x:v>
      </x:c>
      <x:c r="D191" s="42" t="n">
        <x:v>20.678991928710644</x:v>
      </x:c>
      <x:c r="E191" s="42" t="n">
        <x:f>$B$5-D191</x:f>
        <x:v>23.421008071289357</x:v>
      </x:c>
      <x:c r="F191" s="79" t="n">
        <x:v>23.4501</x:v>
      </x:c>
      <x:c r="G191" s="43"/>
      <x:c r="H191" s="43"/>
      <x:c r="I191" s="44" t="n">
        <x:f>IF(COUNT(F191:H191)=0,"",AVERAGE(F191:H191))</x:f>
        <x:v>23.4501</x:v>
      </x:c>
      <x:c r="J191" s="44" t="n">
        <x:f>IF(I191="","",I191-E191)</x:f>
        <x:v>0.029091928710641923</x:v>
      </x:c>
      <x:c r="K191" s="45" t="n">
        <x:f>IF(I191="","",J191/E191)</x:f>
        <x:v>0.0012421296565071538</x:v>
      </x:c>
      <x:c r="L191" s="36" t="str">
        <x:v>Leitura real — sequência serpentina</x:v>
      </x:c>
    </x:row>
    <x:row r="192">
      <x:c r="A192" s="40" t="n">
        <x:v>180</x:v>
      </x:c>
      <x:c r="B192" s="41" t="n">
        <x:v>1.45</x:v>
      </x:c>
      <x:c r="C192" s="41" t="n">
        <x:v>0.5</x:v>
      </x:c>
      <x:c r="D192" s="42" t="n">
        <x:v>20.455905226829206</x:v>
      </x:c>
      <x:c r="E192" s="42" t="n">
        <x:f>$B$5-D192</x:f>
        <x:v>23.644094773170796</x:v>
      </x:c>
      <x:c r="F192" s="79" t="n">
        <x:v>26.4437</x:v>
      </x:c>
      <x:c r="G192" s="43"/>
      <x:c r="H192" s="43"/>
      <x:c r="I192" s="44" t="n">
        <x:f>IF(COUNT(F192:H192)=0,"",AVERAGE(F192:H192))</x:f>
        <x:v>26.4437</x:v>
      </x:c>
      <x:c r="J192" s="44" t="n">
        <x:f>IF(I192="","",I192-E192)</x:f>
        <x:v>2.799605226829204</x:v>
      </x:c>
      <x:c r="K192" s="45" t="n">
        <x:f>IF(I192="","",J192/E192)</x:f>
        <x:v>0.118406107473649</x:v>
      </x:c>
      <x:c r="L192" s="36" t="str">
        <x:v>Leitura real — sequência serpentina</x:v>
      </x:c>
    </x:row>
    <x:row r="193">
      <x:c r="A193" s="40" t="n">
        <x:v>181</x:v>
      </x:c>
      <x:c r="B193" s="41" t="n">
        <x:v>1.7</x:v>
      </x:c>
      <x:c r="C193" s="41" t="n">
        <x:v>0.5</x:v>
      </x:c>
      <x:c r="D193" s="42" t="n">
        <x:v>19.75786695092615</x:v>
      </x:c>
      <x:c r="E193" s="42" t="n">
        <x:f>$B$5-D193</x:f>
        <x:v>24.34213304907385</x:v>
      </x:c>
      <x:c r="F193" s="79" t="n">
        <x:v>26.2722</x:v>
      </x:c>
      <x:c r="G193" s="43"/>
      <x:c r="H193" s="43"/>
      <x:c r="I193" s="44" t="n">
        <x:f>IF(COUNT(F193:H193)=0,"",AVERAGE(F193:H193))</x:f>
        <x:v>26.2722</x:v>
      </x:c>
      <x:c r="J193" s="44" t="n">
        <x:f>IF(I193="","",I193-E193)</x:f>
        <x:v>1.9300669509261503</x:v>
      </x:c>
      <x:c r="K193" s="45" t="n">
        <x:f>IF(I193="","",J193/E193)</x:f>
        <x:v>0.07928914639629676</x:v>
      </x:c>
      <x:c r="L193" s="36" t="str">
        <x:v>Leitura real — sequência serpentina</x:v>
      </x:c>
    </x:row>
    <x:row r="194">
      <x:c r="A194" s="40" t="n">
        <x:v>182</x:v>
      </x:c>
      <x:c r="B194" s="41" t="n">
        <x:v>1.95</x:v>
      </x:c>
      <x:c r="C194" s="41" t="n">
        <x:v>0.5</x:v>
      </x:c>
      <x:c r="D194" s="42" t="n">
        <x:v>18.502509228938173</x:v>
      </x:c>
      <x:c r="E194" s="42" t="n">
        <x:f>$B$5-D194</x:f>
        <x:v>25.59749077106183</x:v>
      </x:c>
      <x:c r="F194" s="79" t="n">
        <x:v>26.6052</x:v>
      </x:c>
      <x:c r="G194" s="43"/>
      <x:c r="H194" s="43"/>
      <x:c r="I194" s="44" t="n">
        <x:f>IF(COUNT(F194:H194)=0,"",AVERAGE(F194:H194))</x:f>
        <x:v>26.6052</x:v>
      </x:c>
      <x:c r="J194" s="44" t="n">
        <x:f>IF(I194="","",I194-E194)</x:f>
        <x:v>1.0077092289381717</x:v>
      </x:c>
      <x:c r="K194" s="45" t="n">
        <x:f>IF(I194="","",J194/E194)</x:f>
        <x:v>0.03936750043005759</x:v>
      </x:c>
      <x:c r="L194" s="36" t="str">
        <x:v>Leitura real — sequência serpentina</x:v>
      </x:c>
    </x:row>
    <x:row r="195">
      <x:c r="A195" s="40" t="n">
        <x:v>183</x:v>
      </x:c>
      <x:c r="B195" s="41" t="n">
        <x:v>2.2</x:v>
      </x:c>
      <x:c r="C195" s="41" t="n">
        <x:v>0.5</x:v>
      </x:c>
      <x:c r="D195" s="42" t="n">
        <x:v>16.607521545508487</x:v>
      </x:c>
      <x:c r="E195" s="42" t="n">
        <x:f>$B$5-D195</x:f>
        <x:v>27.492478454491515</x:v>
      </x:c>
      <x:c r="F195" s="79" t="n">
        <x:v>29.3371</x:v>
      </x:c>
      <x:c r="G195" s="43"/>
      <x:c r="H195" s="43"/>
      <x:c r="I195" s="44" t="n">
        <x:f>IF(COUNT(F195:H195)=0,"",AVERAGE(F195:H195))</x:f>
        <x:v>29.3371</x:v>
      </x:c>
      <x:c r="J195" s="44" t="n">
        <x:f>IF(I195="","",I195-E195)</x:f>
        <x:v>1.8446215455084847</x:v>
      </x:c>
      <x:c r="K195" s="45" t="n">
        <x:f>IF(I195="","",J195/E195)</x:f>
        <x:v>0.06709549844921764</x:v>
      </x:c>
      <x:c r="L195" s="36" t="str">
        <x:v>Leitura real — sequência serpentina</x:v>
      </x:c>
    </x:row>
    <x:row r="196">
      <x:c r="A196" s="40" t="n">
        <x:v>184</x:v>
      </x:c>
      <x:c r="B196" s="41" t="n">
        <x:v>2.45</x:v>
      </x:c>
      <x:c r="C196" s="41" t="n">
        <x:v>0.5</x:v>
      </x:c>
      <x:c r="D196" s="42" t="n">
        <x:v>14.221611343618866</x:v>
      </x:c>
      <x:c r="E196" s="42" t="n">
        <x:f>$B$5-D196</x:f>
        <x:v>29.878388656381134</x:v>
      </x:c>
      <x:c r="F196" s="79" t="n">
        <x:v>28.5668</x:v>
      </x:c>
      <x:c r="G196" s="43"/>
      <x:c r="H196" s="43"/>
      <x:c r="I196" s="44" t="n">
        <x:f>IF(COUNT(F196:H196)=0,"",AVERAGE(F196:H196))</x:f>
        <x:v>28.5668</x:v>
      </x:c>
      <x:c r="J196" s="44" t="n">
        <x:f>IF(I196="","",I196-E196)</x:f>
        <x:v>-1.311588656381133</x:v>
      </x:c>
      <x:c r="K196" s="45" t="n">
        <x:f>IF(I196="","",J196/E196)</x:f>
        <x:v>-0.04389756996152524</x:v>
      </x:c>
      <x:c r="L196" s="36" t="str">
        <x:v>Leitura real — sequência serpentina</x:v>
      </x:c>
    </x:row>
    <x:row r="197">
      <x:c r="A197" s="40" t="n">
        <x:v>185</x:v>
      </x:c>
      <x:c r="B197" s="41" t="n">
        <x:v>2.7</x:v>
      </x:c>
      <x:c r="C197" s="41" t="n">
        <x:v>0.5</x:v>
      </x:c>
      <x:c r="D197" s="42" t="n">
        <x:v>11.890416054421523</x:v>
      </x:c>
      <x:c r="E197" s="42" t="n">
        <x:f>$B$5-D197</x:f>
        <x:v>32.20958394557848</x:v>
      </x:c>
      <x:c r="F197" s="79" t="n">
        <x:v>33.7772</x:v>
      </x:c>
      <x:c r="G197" s="43"/>
      <x:c r="H197" s="43"/>
      <x:c r="I197" s="44" t="n">
        <x:f>IF(COUNT(F197:H197)=0,"",AVERAGE(F197:H197))</x:f>
        <x:v>33.7772</x:v>
      </x:c>
      <x:c r="J197" s="44" t="n">
        <x:f>IF(I197="","",I197-E197)</x:f>
        <x:v>1.5676160544215207</x:v>
      </x:c>
      <x:c r="K197" s="45" t="n">
        <x:f>IF(I197="","",J197/E197)</x:f>
        <x:v>0.048669242579170685</x:v>
      </x:c>
      <x:c r="L197" s="36" t="str">
        <x:v>Leitura real — sequência serpentina</x:v>
      </x:c>
    </x:row>
    <x:row r="198">
      <x:c r="A198" s="40" t="n">
        <x:v>186</x:v>
      </x:c>
      <x:c r="B198" s="41" t="n">
        <x:v>2.95</x:v>
      </x:c>
      <x:c r="C198" s="41" t="n">
        <x:v>0.5</x:v>
      </x:c>
      <x:c r="D198" s="42" t="n">
        <x:v>10.019726851622162</x:v>
      </x:c>
      <x:c r="E198" s="42" t="n">
        <x:f>$B$5-D198</x:f>
        <x:v>34.08027314837784</x:v>
      </x:c>
      <x:c r="F198" s="79" t="n">
        <x:v>36.5166</x:v>
      </x:c>
      <x:c r="G198" s="43"/>
      <x:c r="H198" s="43"/>
      <x:c r="I198" s="44" t="n">
        <x:f>IF(COUNT(F198:H198)=0,"",AVERAGE(F198:H198))</x:f>
        <x:v>36.5166</x:v>
      </x:c>
      <x:c r="J198" s="44" t="n">
        <x:f>IF(I198="","",I198-E198)</x:f>
        <x:v>2.4363268516221552</x:v>
      </x:c>
      <x:c r="K198" s="45" t="n">
        <x:f>IF(I198="","",J198/E198)</x:f>
        <x:v>0.07148789098652279</x:v>
      </x:c>
      <x:c r="L198" s="36" t="str">
        <x:v>Leitura real — sequência serpentina</x:v>
      </x:c>
    </x:row>
    <x:row r="199">
      <x:c r="A199" s="40" t="n">
        <x:v>187</x:v>
      </x:c>
      <x:c r="B199" s="41" t="n">
        <x:v>3.2</x:v>
      </x:c>
      <x:c r="C199" s="41" t="n">
        <x:v>0.5</x:v>
      </x:c>
      <x:c r="D199" s="42" t="n">
        <x:v>8.611109121170484</x:v>
      </x:c>
      <x:c r="E199" s="42" t="n">
        <x:f>$B$5-D199</x:f>
        <x:v>35.488890878829515</x:v>
      </x:c>
      <x:c r="F199" s="79" t="n">
        <x:v>37.269</x:v>
      </x:c>
      <x:c r="G199" s="43"/>
      <x:c r="H199" s="43"/>
      <x:c r="I199" s="44" t="n">
        <x:f>IF(COUNT(F199:H199)=0,"",AVERAGE(F199:H199))</x:f>
        <x:v>37.269</x:v>
      </x:c>
      <x:c r="J199" s="44" t="n">
        <x:f>IF(I199="","",I199-E199)</x:f>
        <x:v>1.780109121170483</x:v>
      </x:c>
      <x:c r="K199" s="45" t="n">
        <x:f>IF(I199="","",J199/E199)</x:f>
        <x:v>0.05015961550470393</x:v>
      </x:c>
      <x:c r="L199" s="36" t="str">
        <x:v>Leitura real — sequência serpentina</x:v>
      </x:c>
    </x:row>
    <x:row r="200">
      <x:c r="A200" s="40" t="n">
        <x:v>188</x:v>
      </x:c>
      <x:c r="B200" s="41" t="n">
        <x:v>-0.8</x:v>
      </x:c>
      <x:c r="C200" s="41" t="n">
        <x:v>0.75</x:v>
      </x:c>
      <x:c r="D200" s="42" t="n">
        <x:v>8.113555283120983</x:v>
      </x:c>
      <x:c r="E200" s="42" t="n">
        <x:f>$B$5-D200</x:f>
        <x:v>35.98644471687902</x:v>
      </x:c>
      <x:c r="F200" s="79" t="n">
        <x:v>36.8859</x:v>
      </x:c>
      <x:c r="G200" s="43"/>
      <x:c r="H200" s="43"/>
      <x:c r="I200" s="44" t="n">
        <x:f>IF(COUNT(F200:H200)=0,"",AVERAGE(F200:H200))</x:f>
        <x:v>36.8859</x:v>
      </x:c>
      <x:c r="J200" s="44" t="n">
        <x:f>IF(I200="","",I200-E200)</x:f>
        <x:v>0.8994552831209788</x:v>
      </x:c>
      <x:c r="K200" s="45" t="n">
        <x:f>IF(I200="","",J200/E200)</x:f>
        <x:v>0.024994280212935285</x:v>
      </x:c>
      <x:c r="L200" s="36" t="str">
        <x:v>Leitura real — sequência serpentina</x:v>
      </x:c>
    </x:row>
    <x:row r="201">
      <x:c r="A201" s="40" t="n">
        <x:v>189</x:v>
      </x:c>
      <x:c r="B201" s="41" t="n">
        <x:v>-0.55</x:v>
      </x:c>
      <x:c r="C201" s="41" t="n">
        <x:v>0.75</x:v>
      </x:c>
      <x:c r="D201" s="42" t="n">
        <x:v>9.211680258186956</x:v>
      </x:c>
      <x:c r="E201" s="42" t="n">
        <x:f>$B$5-D201</x:f>
        <x:v>34.88831974181305</x:v>
      </x:c>
      <x:c r="F201" s="79" t="n">
        <x:v>35.4765</x:v>
      </x:c>
      <x:c r="G201" s="43"/>
      <x:c r="H201" s="43"/>
      <x:c r="I201" s="44" t="n">
        <x:f>IF(COUNT(F201:H201)=0,"",AVERAGE(F201:H201))</x:f>
        <x:v>35.4765</x:v>
      </x:c>
      <x:c r="J201" s="44" t="n">
        <x:f>IF(I201="","",I201-E201)</x:f>
        <x:v>0.5881802581869522</x:v>
      </x:c>
      <x:c r="K201" s="45" t="n">
        <x:f>IF(I201="","",J201/E201)</x:f>
        <x:v>0.01685894484285032</x:v>
      </x:c>
      <x:c r="L201" s="36" t="str">
        <x:v>Leitura real — sequência serpentina</x:v>
      </x:c>
    </x:row>
    <x:row r="202">
      <x:c r="A202" s="40" t="n">
        <x:v>190</x:v>
      </x:c>
      <x:c r="B202" s="41" t="n">
        <x:v>-0.30000000000000004</x:v>
      </x:c>
      <x:c r="C202" s="41" t="n">
        <x:v>0.75</x:v>
      </x:c>
      <x:c r="D202" s="42" t="n">
        <x:v>10.53001756690705</x:v>
      </x:c>
      <x:c r="E202" s="42" t="n">
        <x:f>$B$5-D202</x:f>
        <x:v>33.56998243309295</x:v>
      </x:c>
      <x:c r="F202" s="79" t="n">
        <x:v>34.8979</x:v>
      </x:c>
      <x:c r="G202" s="43"/>
      <x:c r="H202" s="43"/>
      <x:c r="I202" s="44" t="n">
        <x:f>IF(COUNT(F202:H202)=0,"",AVERAGE(F202:H202))</x:f>
        <x:v>34.8979</x:v>
      </x:c>
      <x:c r="J202" s="44" t="n">
        <x:f>IF(I202="","",I202-E202)</x:f>
        <x:v>1.3279175669070469</x:v>
      </x:c>
      <x:c r="K202" s="45" t="n">
        <x:f>IF(I202="","",J202/E202)</x:f>
        <x:v>0.03955669531712352</x:v>
      </x:c>
      <x:c r="L202" s="36" t="str">
        <x:v>Leitura real — sequência serpentina</x:v>
      </x:c>
    </x:row>
    <x:row r="203">
      <x:c r="A203" s="40" t="n">
        <x:v>191</x:v>
      </x:c>
      <x:c r="B203" s="41" t="n">
        <x:v>-0.050000000000000044</x:v>
      </x:c>
      <x:c r="C203" s="41" t="n">
        <x:v>0.75</x:v>
      </x:c>
      <x:c r="D203" s="42" t="n">
        <x:v>12.007332273033272</x:v>
      </x:c>
      <x:c r="E203" s="42" t="n">
        <x:f>$B$5-D203</x:f>
        <x:v>32.09266772696673</x:v>
      </x:c>
      <x:c r="F203" s="79" t="n">
        <x:v>32.8532</x:v>
      </x:c>
      <x:c r="G203" s="43"/>
      <x:c r="H203" s="43"/>
      <x:c r="I203" s="44" t="n">
        <x:f>IF(COUNT(F203:H203)=0,"",AVERAGE(F203:H203))</x:f>
        <x:v>32.8532</x:v>
      </x:c>
      <x:c r="J203" s="44" t="n">
        <x:f>IF(I203="","",I203-E203)</x:f>
        <x:v>0.7605322730332702</x:v>
      </x:c>
      <x:c r="K203" s="45" t="n">
        <x:f>IF(I203="","",J203/E203)</x:f>
        <x:v>0.02369800726769163</x:v>
      </x:c>
      <x:c r="L203" s="36" t="str">
        <x:v>Leitura real — sequência serpentina</x:v>
      </x:c>
    </x:row>
    <x:row r="204">
      <x:c r="A204" s="40" t="n">
        <x:v>192</x:v>
      </x:c>
      <x:c r="B204" s="41" t="n">
        <x:v>0.19999999999999996</x:v>
      </x:c>
      <x:c r="C204" s="41" t="n">
        <x:v>0.75</x:v>
      </x:c>
      <x:c r="D204" s="42" t="n">
        <x:v>13.466466084127902</x:v>
      </x:c>
      <x:c r="E204" s="42" t="n">
        <x:f>$B$5-D204</x:f>
        <x:v>30.6335339158721</x:v>
      </x:c>
      <x:c r="F204" s="79" t="n">
        <x:v>31.2868</x:v>
      </x:c>
      <x:c r="G204" s="43"/>
      <x:c r="H204" s="43"/>
      <x:c r="I204" s="44" t="n">
        <x:f>IF(COUNT(F204:H204)=0,"",AVERAGE(F204:H204))</x:f>
        <x:v>31.2868</x:v>
      </x:c>
      <x:c r="J204" s="44" t="n">
        <x:f>IF(I204="","",I204-E204)</x:f>
        <x:v>0.6532660841278997</x:v>
      </x:c>
      <x:c r="K204" s="45" t="n">
        <x:f>IF(I204="","",J204/E204)</x:f>
        <x:v>0.02132519499454237</x:v>
      </x:c>
      <x:c r="L204" s="36" t="str">
        <x:v>Leitura real — sequência serpentina</x:v>
      </x:c>
    </x:row>
    <x:row r="205">
      <x:c r="A205" s="40" t="n">
        <x:v>193</x:v>
      </x:c>
      <x:c r="B205" s="41" t="n">
        <x:v>0.44999999999999996</x:v>
      </x:c>
      <x:c r="C205" s="41" t="n">
        <x:v>0.75</x:v>
      </x:c>
      <x:c r="D205" s="42" t="n">
        <x:v>14.698325656175395</x:v>
      </x:c>
      <x:c r="E205" s="42" t="n">
        <x:f>$B$5-D205</x:f>
        <x:v>29.401674343824606</x:v>
      </x:c>
      <x:c r="F205" s="79" t="n">
        <x:v>29.8942</x:v>
      </x:c>
      <x:c r="G205" s="43"/>
      <x:c r="H205" s="43"/>
      <x:c r="I205" s="44" t="n">
        <x:f>IF(COUNT(F205:H205)=0,"",AVERAGE(F205:H205))</x:f>
        <x:v>29.8942</x:v>
      </x:c>
      <x:c r="J205" s="44" t="n">
        <x:f>IF(I205="","",I205-E205)</x:f>
        <x:v>0.49252565617539545</x:v>
      </x:c>
      <x:c r="K205" s="45" t="n">
        <x:f>IF(I205="","",J205/E205)</x:f>
        <x:v>0.016751619326701484</x:v>
      </x:c>
      <x:c r="L205" s="36" t="str">
        <x:v>Leitura real — sequência serpentina</x:v>
      </x:c>
    </x:row>
    <x:row r="206">
      <x:c r="A206" s="40" t="n">
        <x:v>194</x:v>
      </x:c>
      <x:c r="B206" s="41" t="n">
        <x:v>0.7</x:v>
      </x:c>
      <x:c r="C206" s="41" t="n">
        <x:v>0.75</x:v>
      </x:c>
      <x:c r="D206" s="42" t="n">
        <x:v>15.587205795191974</x:v>
      </x:c>
      <x:c r="E206" s="42" t="n">
        <x:f>$B$5-D206</x:f>
        <x:v>28.512794204808028</x:v>
      </x:c>
      <x:c r="F206" s="79" t="n">
        <x:v>29.4917</x:v>
      </x:c>
      <x:c r="G206" s="43"/>
      <x:c r="H206" s="43"/>
      <x:c r="I206" s="44" t="n">
        <x:f>IF(COUNT(F206:H206)=0,"",AVERAGE(F206:H206))</x:f>
        <x:v>29.4917</x:v>
      </x:c>
      <x:c r="J206" s="44" t="n">
        <x:f>IF(I206="","",I206-E206)</x:f>
        <x:v>0.9789057951919737</x:v>
      </x:c>
      <x:c r="K206" s="45" t="n">
        <x:f>IF(I206="","",J206/E206)</x:f>
        <x:v>0.034332159386430944</x:v>
      </x:c>
      <x:c r="L206" s="36" t="str">
        <x:v>Leitura real — sequência serpentina</x:v>
      </x:c>
    </x:row>
    <x:row r="207">
      <x:c r="A207" s="40" t="n">
        <x:v>195</x:v>
      </x:c>
      <x:c r="B207" s="41" t="n">
        <x:v>0.95</x:v>
      </x:c>
      <x:c r="C207" s="41" t="n">
        <x:v>0.75</x:v>
      </x:c>
      <x:c r="D207" s="42" t="n">
        <x:v>16.11193258193776</x:v>
      </x:c>
      <x:c r="E207" s="42" t="n">
        <x:f>$B$5-D207</x:f>
        <x:v>27.98806741806224</x:v>
      </x:c>
      <x:c r="F207" s="79" t="n">
        <x:v>25.7491</x:v>
      </x:c>
      <x:c r="G207" s="43"/>
      <x:c r="H207" s="43"/>
      <x:c r="I207" s="44" t="n">
        <x:f>IF(COUNT(F207:H207)=0,"",AVERAGE(F207:H207))</x:f>
        <x:v>25.7491</x:v>
      </x:c>
      <x:c r="J207" s="44" t="n">
        <x:f>IF(I207="","",I207-E207)</x:f>
        <x:v>-2.2389674180622414</x:v>
      </x:c>
      <x:c r="K207" s="45" t="n">
        <x:f>IF(I207="","",J207/E207)</x:f>
        <x:v>-0.07999721397760078</x:v>
      </x:c>
      <x:c r="L207" s="36" t="str">
        <x:v>Leitura real — sequência serpentina</x:v>
      </x:c>
    </x:row>
    <x:row r="208">
      <x:c r="A208" s="40" t="n">
        <x:v>196</x:v>
      </x:c>
      <x:c r="B208" s="41" t="n">
        <x:v>1.2</x:v>
      </x:c>
      <x:c r="C208" s="41" t="n">
        <x:v>0.75</x:v>
      </x:c>
      <x:c r="D208" s="42" t="n">
        <x:v>16.2844129326416</x:v>
      </x:c>
      <x:c r="E208" s="42" t="n">
        <x:f>$B$5-D208</x:f>
        <x:v>27.8155870673584</x:v>
      </x:c>
      <x:c r="F208" s="79" t="n">
        <x:v>25.5282</x:v>
      </x:c>
      <x:c r="G208" s="43"/>
      <x:c r="H208" s="43"/>
      <x:c r="I208" s="44" t="n">
        <x:f>IF(COUNT(F208:H208)=0,"",AVERAGE(F208:H208))</x:f>
        <x:v>25.5282</x:v>
      </x:c>
      <x:c r="J208" s="44" t="n">
        <x:f>IF(I208="","",I208-E208)</x:f>
        <x:v>-2.2873870673584022</x:v>
      </x:c>
      <x:c r="K208" s="45" t="n">
        <x:f>IF(I208="","",J208/E208)</x:f>
        <x:v>-0.08223400289266775</x:v>
      </x:c>
      <x:c r="L208" s="36" t="str">
        <x:v>Leitura real — sequência serpentina</x:v>
      </x:c>
    </x:row>
    <x:row r="209">
      <x:c r="A209" s="40" t="n">
        <x:v>197</x:v>
      </x:c>
      <x:c r="B209" s="41" t="n">
        <x:v>1.45</x:v>
      </x:c>
      <x:c r="C209" s="41" t="n">
        <x:v>0.75</x:v>
      </x:c>
      <x:c r="D209" s="42" t="n">
        <x:v>16.11193258193776</x:v>
      </x:c>
      <x:c r="E209" s="42" t="n">
        <x:f>$B$5-D209</x:f>
        <x:v>27.98806741806224</x:v>
      </x:c>
      <x:c r="F209" s="79" t="n">
        <x:v>28.5983</x:v>
      </x:c>
      <x:c r="G209" s="43"/>
      <x:c r="H209" s="43"/>
      <x:c r="I209" s="44" t="n">
        <x:f>IF(COUNT(F209:H209)=0,"",AVERAGE(F209:H209))</x:f>
        <x:v>28.5983</x:v>
      </x:c>
      <x:c r="J209" s="44" t="n">
        <x:f>IF(I209="","",I209-E209)</x:f>
        <x:v>0.6102325819377583</x:v>
      </x:c>
      <x:c r="K209" s="45" t="n">
        <x:f>IF(I209="","",J209/E209)</x:f>
        <x:v>0.021803312562550914</x:v>
      </x:c>
      <x:c r="L209" s="36" t="str">
        <x:v>Leitura real — sequência serpentina</x:v>
      </x:c>
    </x:row>
    <x:row r="210">
      <x:c r="A210" s="40" t="n">
        <x:v>198</x:v>
      </x:c>
      <x:c r="B210" s="41" t="n">
        <x:v>1.7</x:v>
      </x:c>
      <x:c r="C210" s="41" t="n">
        <x:v>0.75</x:v>
      </x:c>
      <x:c r="D210" s="42" t="n">
        <x:v>15.587205795191974</x:v>
      </x:c>
      <x:c r="E210" s="42" t="n">
        <x:f>$B$5-D210</x:f>
        <x:v>28.512794204808028</x:v>
      </x:c>
      <x:c r="F210" s="79" t="n">
        <x:v>29.2224</x:v>
      </x:c>
      <x:c r="G210" s="43"/>
      <x:c r="H210" s="43"/>
      <x:c r="I210" s="44" t="n">
        <x:f>IF(COUNT(F210:H210)=0,"",AVERAGE(F210:H210))</x:f>
        <x:v>29.2224</x:v>
      </x:c>
      <x:c r="J210" s="44" t="n">
        <x:f>IF(I210="","",I210-E210)</x:f>
        <x:v>0.7096057951919725</x:v>
      </x:c>
      <x:c r="K210" s="45" t="n">
        <x:f>IF(I210="","",J210/E210)</x:f>
        <x:v>0.024887276571172172</x:v>
      </x:c>
      <x:c r="L210" s="36" t="str">
        <x:v>Leitura real — sequência serpentina</x:v>
      </x:c>
    </x:row>
    <x:row r="211">
      <x:c r="A211" s="40" t="n">
        <x:v>199</x:v>
      </x:c>
      <x:c r="B211" s="41" t="n">
        <x:v>1.95</x:v>
      </x:c>
      <x:c r="C211" s="41" t="n">
        <x:v>0.75</x:v>
      </x:c>
      <x:c r="D211" s="42" t="n">
        <x:v>14.698325656175395</x:v>
      </x:c>
      <x:c r="E211" s="42" t="n">
        <x:f>$B$5-D211</x:f>
        <x:v>29.401674343824606</x:v>
      </x:c>
      <x:c r="F211" s="79" t="n">
        <x:v>31.0468</x:v>
      </x:c>
      <x:c r="G211" s="43"/>
      <x:c r="H211" s="43"/>
      <x:c r="I211" s="44" t="n">
        <x:f>IF(COUNT(F211:H211)=0,"",AVERAGE(F211:H211))</x:f>
        <x:v>31.0468</x:v>
      </x:c>
      <x:c r="J211" s="44" t="n">
        <x:f>IF(I211="","",I211-E211)</x:f>
        <x:v>1.645125656175395</x:v>
      </x:c>
      <x:c r="K211" s="45" t="n">
        <x:f>IF(I211="","",J211/E211)</x:f>
        <x:v>0.05595346839561638</x:v>
      </x:c>
      <x:c r="L211" s="36" t="str">
        <x:v>Leitura real — sequência serpentina</x:v>
      </x:c>
    </x:row>
    <x:row r="212">
      <x:c r="A212" s="40" t="n">
        <x:v>200</x:v>
      </x:c>
      <x:c r="B212" s="41" t="n">
        <x:v>2.2</x:v>
      </x:c>
      <x:c r="C212" s="41" t="n">
        <x:v>0.75</x:v>
      </x:c>
      <x:c r="D212" s="42" t="n">
        <x:v>13.466466084127898</x:v>
      </x:c>
      <x:c r="E212" s="42" t="n">
        <x:f>$B$5-D212</x:f>
        <x:v>30.633533915872103</x:v>
      </x:c>
      <x:c r="F212" s="79" t="n">
        <x:v>30.1417</x:v>
      </x:c>
      <x:c r="G212" s="43"/>
      <x:c r="H212" s="43"/>
      <x:c r="I212" s="44" t="n">
        <x:f>IF(COUNT(F212:H212)=0,"",AVERAGE(F212:H212))</x:f>
        <x:v>30.1417</x:v>
      </x:c>
      <x:c r="J212" s="44" t="n">
        <x:f>IF(I212="","",I212-E212)</x:f>
        <x:v>-0.49183391587210323</x:v>
      </x:c>
      <x:c r="K212" s="45" t="n">
        <x:f>IF(I212="","",J212/E212)</x:f>
        <x:v>-0.01605540899142786</x:v>
      </x:c>
      <x:c r="L212" s="36" t="str">
        <x:v>Leitura real — sequência serpentina</x:v>
      </x:c>
    </x:row>
    <x:row r="213">
      <x:c r="A213" s="40" t="n">
        <x:v>201</x:v>
      </x:c>
      <x:c r="B213" s="41" t="n">
        <x:v>2.45</x:v>
      </x:c>
      <x:c r="C213" s="41" t="n">
        <x:v>0.75</x:v>
      </x:c>
      <x:c r="D213" s="42" t="n">
        <x:v>12.007332273033272</x:v>
      </x:c>
      <x:c r="E213" s="42" t="n">
        <x:f>$B$5-D213</x:f>
        <x:v>32.09266772696673</x:v>
      </x:c>
      <x:c r="F213" s="79" t="n">
        <x:v>32.5188</x:v>
      </x:c>
      <x:c r="G213" s="43"/>
      <x:c r="H213" s="43"/>
      <x:c r="I213" s="44" t="n">
        <x:f>IF(COUNT(F213:H213)=0,"",AVERAGE(F213:H213))</x:f>
        <x:v>32.5188</x:v>
      </x:c>
      <x:c r="J213" s="44" t="n">
        <x:f>IF(I213="","",I213-E213)</x:f>
        <x:v>0.42613227303326795</x:v>
      </x:c>
      <x:c r="K213" s="45" t="n">
        <x:f>IF(I213="","",J213/E213)</x:f>
        <x:v>0.013278181691177976</x:v>
      </x:c>
      <x:c r="L213" s="36" t="str">
        <x:v>Leitura real — sequência serpentina</x:v>
      </x:c>
    </x:row>
    <x:row r="214">
      <x:c r="A214" s="40" t="n">
        <x:v>202</x:v>
      </x:c>
      <x:c r="B214" s="41" t="n">
        <x:v>2.7</x:v>
      </x:c>
      <x:c r="C214" s="41" t="n">
        <x:v>0.75</x:v>
      </x:c>
      <x:c r="D214" s="42" t="n">
        <x:v>10.530017566907048</x:v>
      </x:c>
      <x:c r="E214" s="42" t="n">
        <x:f>$B$5-D214</x:f>
        <x:v>33.56998243309295</x:v>
      </x:c>
      <x:c r="F214" s="79" t="n">
        <x:v>34.913</x:v>
      </x:c>
      <x:c r="G214" s="43"/>
      <x:c r="H214" s="43"/>
      <x:c r="I214" s="44" t="n">
        <x:f>IF(COUNT(F214:H214)=0,"",AVERAGE(F214:H214))</x:f>
        <x:v>34.913</x:v>
      </x:c>
      <x:c r="J214" s="44" t="n">
        <x:f>IF(I214="","",I214-E214)</x:f>
        <x:v>1.3430175669070437</x:v>
      </x:c>
      <x:c r="K214" s="45" t="n">
        <x:f>IF(I214="","",J214/E214)</x:f>
        <x:v>0.04000650192724291</x:v>
      </x:c>
      <x:c r="L214" s="36" t="str">
        <x:v>Leitura real — sequência serpentina</x:v>
      </x:c>
    </x:row>
    <x:row r="215">
      <x:c r="A215" s="40" t="n">
        <x:v>203</x:v>
      </x:c>
      <x:c r="B215" s="41" t="n">
        <x:v>2.95</x:v>
      </x:c>
      <x:c r="C215" s="41" t="n">
        <x:v>0.75</x:v>
      </x:c>
      <x:c r="D215" s="42" t="n">
        <x:v>9.211680258186956</x:v>
      </x:c>
      <x:c r="E215" s="42" t="n">
        <x:f>$B$5-D215</x:f>
        <x:v>34.88831974181305</x:v>
      </x:c>
      <x:c r="F215" s="79" t="n">
        <x:v>28.8897</x:v>
      </x:c>
      <x:c r="G215" s="43"/>
      <x:c r="H215" s="43"/>
      <x:c r="I215" s="44" t="n">
        <x:f>IF(COUNT(F215:H215)=0,"",AVERAGE(F215:H215))</x:f>
        <x:v>28.8897</x:v>
      </x:c>
      <x:c r="J215" s="44" t="n">
        <x:f>IF(I215="","",I215-E215)</x:f>
        <x:v>-5.998619741813048</x:v>
      </x:c>
      <x:c r="K215" s="45" t="n">
        <x:f>IF(I215="","",J215/E215)</x:f>
        <x:v>-0.17193776559619767</x:v>
      </x:c>
      <x:c r="L215" s="36" t="str">
        <x:v>Leitura real — sequência serpentina</x:v>
      </x:c>
    </x:row>
    <x:row r="216">
      <x:c r="A216" s="40" t="n">
        <x:v>204</x:v>
      </x:c>
      <x:c r="B216" s="41" t="n">
        <x:v>3.2</x:v>
      </x:c>
      <x:c r="C216" s="41" t="n">
        <x:v>0.75</x:v>
      </x:c>
      <x:c r="D216" s="42" t="n">
        <x:v>8.11355528312098</x:v>
      </x:c>
      <x:c r="E216" s="42" t="n">
        <x:f>$B$5-D216</x:f>
        <x:v>35.98644471687902</x:v>
      </x:c>
      <x:c r="F216" s="79" t="n">
        <x:v>35.6727</x:v>
      </x:c>
      <x:c r="G216" s="43"/>
      <x:c r="H216" s="43"/>
      <x:c r="I216" s="44" t="n">
        <x:f>IF(COUNT(F216:H216)=0,"",AVERAGE(F216:H216))</x:f>
        <x:v>35.6727</x:v>
      </x:c>
      <x:c r="J216" s="44" t="n">
        <x:f>IF(I216="","",I216-E216)</x:f>
        <x:v>-0.3137447168790217</x:v>
      </x:c>
      <x:c r="K216" s="45" t="n">
        <x:f>IF(I216="","",J216/E216)</x:f>
        <x:v>-0.008718413817963613</x:v>
      </x:c>
      <x:c r="L216" s="36" t="str">
        <x:v>Leitura real — sequência serpentina</x:v>
      </x:c>
    </x:row>
    <x:row r="217">
      <x:c r="A217" s="40" t="n">
        <x:v>205</x:v>
      </x:c>
      <x:c r="B217" s="41" t="n">
        <x:v>-0.8</x:v>
      </x:c>
      <x:c r="C217" s="41" t="n">
        <x:v>1</x:v>
      </x:c>
      <x:c r="D217" s="42" t="n">
        <x:v>7.576222955652861</x:v>
      </x:c>
      <x:c r="E217" s="42" t="n">
        <x:f>$B$5-D217</x:f>
        <x:v>36.52377704434714</x:v>
      </x:c>
      <x:c r="F217" s="79" t="n">
        <x:v>37.6797</x:v>
      </x:c>
      <x:c r="G217" s="43"/>
      <x:c r="H217" s="43"/>
      <x:c r="I217" s="44" t="n">
        <x:f>IF(COUNT(F217:H217)=0,"",AVERAGE(F217:H217))</x:f>
        <x:v>37.6797</x:v>
      </x:c>
      <x:c r="J217" s="44" t="n">
        <x:f>IF(I217="","",I217-E217)</x:f>
        <x:v>1.155922955652855</x:v>
      </x:c>
      <x:c r="K217" s="45" t="n">
        <x:f>IF(I217="","",J217/E217)</x:f>
        <x:v>0.03164850541742532</x:v>
      </x:c>
      <x:c r="L217" s="36" t="str">
        <x:v>Leitura real — sequência serpentina</x:v>
      </x:c>
    </x:row>
    <x:row r="218">
      <x:c r="A218" s="40" t="n">
        <x:v>206</x:v>
      </x:c>
      <x:c r="B218" s="41" t="n">
        <x:v>-0.55</x:v>
      </x:c>
      <x:c r="C218" s="41" t="n">
        <x:v>1</x:v>
      </x:c>
      <x:c r="D218" s="42" t="n">
        <x:v>8.424477781961711</x:v>
      </x:c>
      <x:c r="E218" s="42" t="n">
        <x:f>$B$5-D218</x:f>
        <x:v>35.67552221803829</x:v>
      </x:c>
      <x:c r="F218" s="79" t="n">
        <x:v>38.3142</x:v>
      </x:c>
      <x:c r="G218" s="43"/>
      <x:c r="H218" s="43"/>
      <x:c r="I218" s="44" t="n">
        <x:f>IF(COUNT(F218:H218)=0,"",AVERAGE(F218:H218))</x:f>
        <x:v>38.3142</x:v>
      </x:c>
      <x:c r="J218" s="44" t="n">
        <x:f>IF(I218="","",I218-E218)</x:f>
        <x:v>2.638677781961711</x:v>
      </x:c>
      <x:c r="K218" s="45" t="n">
        <x:f>IF(I218="","",J218/E218)</x:f>
        <x:v>0.07396325597800332</x:v>
      </x:c>
      <x:c r="L218" s="36" t="str">
        <x:v>Leitura real — sequência serpentina</x:v>
      </x:c>
    </x:row>
    <x:row r="219">
      <x:c r="A219" s="40" t="n">
        <x:v>207</x:v>
      </x:c>
      <x:c r="B219" s="41" t="n">
        <x:v>-0.30000000000000004</x:v>
      </x:c>
      <x:c r="C219" s="41" t="n">
        <x:v>1</x:v>
      </x:c>
      <x:c r="D219" s="42" t="n">
        <x:v>9.377533056251552</x:v>
      </x:c>
      <x:c r="E219" s="42" t="n">
        <x:f>$B$5-D219</x:f>
        <x:v>34.72246694374845</x:v>
      </x:c>
      <x:c r="F219" s="79" t="n">
        <x:v>34.194</x:v>
      </x:c>
      <x:c r="G219" s="43"/>
      <x:c r="H219" s="43"/>
      <x:c r="I219" s="44" t="n">
        <x:f>IF(COUNT(F219:H219)=0,"",AVERAGE(F219:H219))</x:f>
        <x:v>34.194</x:v>
      </x:c>
      <x:c r="J219" s="44" t="n">
        <x:f>IF(I219="","",I219-E219)</x:f>
        <x:v>-0.5284669437484482</x:v>
      </x:c>
      <x:c r="K219" s="45" t="n">
        <x:f>IF(I219="","",J219/E219)</x:f>
        <x:v>-0.015219740711527846</x:v>
      </x:c>
      <x:c r="L219" s="36" t="str">
        <x:v>Leitura real — sequência serpentina</x:v>
      </x:c>
    </x:row>
    <x:row r="220">
      <x:c r="A220" s="40" t="n">
        <x:v>208</x:v>
      </x:c>
      <x:c r="B220" s="41" t="n">
        <x:v>-0.050000000000000044</x:v>
      </x:c>
      <x:c r="C220" s="41" t="n">
        <x:v>1</x:v>
      </x:c>
      <x:c r="D220" s="42" t="n">
        <x:v>10.385202601401735</x:v>
      </x:c>
      <x:c r="E220" s="42" t="n">
        <x:f>$B$5-D220</x:f>
        <x:v>33.714797398598265</x:v>
      </x:c>
      <x:c r="F220" s="79" t="n">
        <x:v>35.9399</x:v>
      </x:c>
      <x:c r="G220" s="43"/>
      <x:c r="H220" s="43"/>
      <x:c r="I220" s="44" t="n">
        <x:f>IF(COUNT(F220:H220)=0,"",AVERAGE(F220:H220))</x:f>
        <x:v>35.9399</x:v>
      </x:c>
      <x:c r="J220" s="44" t="n">
        <x:f>IF(I220="","",I220-E220)</x:f>
        <x:v>2.225102601401737</x:v>
      </x:c>
      <x:c r="K220" s="45" t="n">
        <x:f>IF(I220="","",J220/E220)</x:f>
        <x:v>0.06599780432001791</x:v>
      </x:c>
      <x:c r="L220" s="36" t="str">
        <x:v>Leitura real — sequência serpentina</x:v>
      </x:c>
    </x:row>
    <x:row r="221">
      <x:c r="A221" s="40" t="n">
        <x:v>209</x:v>
      </x:c>
      <x:c r="B221" s="41" t="n">
        <x:v>0.19999999999999996</x:v>
      </x:c>
      <x:c r="C221" s="41" t="n">
        <x:v>1</x:v>
      </x:c>
      <x:c r="D221" s="42" t="n">
        <x:v>11.3571879313731</x:v>
      </x:c>
      <x:c r="E221" s="42" t="n">
        <x:f>$B$5-D221</x:f>
        <x:v>32.742812068626904</x:v>
      </x:c>
      <x:c r="F221" s="79" t="n">
        <x:v>34.6118</x:v>
      </x:c>
      <x:c r="G221" s="43"/>
      <x:c r="H221" s="43"/>
      <x:c r="I221" s="44" t="n">
        <x:f>IF(COUNT(F221:H221)=0,"",AVERAGE(F221:H221))</x:f>
        <x:v>34.6118</x:v>
      </x:c>
      <x:c r="J221" s="44" t="n">
        <x:f>IF(I221="","",I221-E221)</x:f>
        <x:v>1.8689879313730984</x:v>
      </x:c>
      <x:c r="K221" s="45" t="n">
        <x:f>IF(I221="","",J221/E221)</x:f>
        <x:v>0.057080861822613634</x:v>
      </x:c>
      <x:c r="L221" s="36" t="str">
        <x:v>Leitura real — sequência serpentina</x:v>
      </x:c>
    </x:row>
    <x:row r="222">
      <x:c r="A222" s="40" t="n">
        <x:v>210</x:v>
      </x:c>
      <x:c r="B222" s="41" t="n">
        <x:v>0.44999999999999996</x:v>
      </x:c>
      <x:c r="C222" s="41" t="n">
        <x:v>1</x:v>
      </x:c>
      <x:c r="D222" s="42" t="n">
        <x:v>12.192796631074254</x:v>
      </x:c>
      <x:c r="E222" s="42" t="n">
        <x:f>$B$5-D222</x:f>
        <x:v>31.90720336892575</x:v>
      </x:c>
      <x:c r="F222" s="79" t="n">
        <x:v>32.6878</x:v>
      </x:c>
      <x:c r="G222" s="43"/>
      <x:c r="H222" s="43"/>
      <x:c r="I222" s="44" t="n">
        <x:f>IF(COUNT(F222:H222)=0,"",AVERAGE(F222:H222))</x:f>
        <x:v>32.6878</x:v>
      </x:c>
      <x:c r="J222" s="44" t="n">
        <x:f>IF(I222="","",I222-E222)</x:f>
        <x:v>0.7805966310742534</x:v>
      </x:c>
      <x:c r="K222" s="45" t="n">
        <x:f>IF(I222="","",J222/E222)</x:f>
        <x:v>0.02446458945488379</x:v>
      </x:c>
      <x:c r="L222" s="36" t="str">
        <x:v>Leitura real — sequência serpentina</x:v>
      </x:c>
    </x:row>
    <x:row r="223">
      <x:c r="A223" s="40" t="n">
        <x:v>211</x:v>
      </x:c>
      <x:c r="B223" s="41" t="n">
        <x:v>0.7</x:v>
      </x:c>
      <x:c r="C223" s="41" t="n">
        <x:v>1</x:v>
      </x:c>
      <x:c r="D223" s="42" t="n">
        <x:v>12.819275707035112</x:v>
      </x:c>
      <x:c r="E223" s="42" t="n">
        <x:f>$B$5-D223</x:f>
        <x:v>31.28072429296489</x:v>
      </x:c>
      <x:c r="F223" s="79" t="n">
        <x:v>30.9283</x:v>
      </x:c>
      <x:c r="G223" s="43"/>
      <x:c r="H223" s="43"/>
      <x:c r="I223" s="44" t="n">
        <x:f>IF(COUNT(F223:H223)=0,"",AVERAGE(F223:H223))</x:f>
        <x:v>30.9283</x:v>
      </x:c>
      <x:c r="J223" s="44" t="n">
        <x:f>IF(I223="","",I223-E223)</x:f>
        <x:v>-0.35242429296489064</x:v>
      </x:c>
      <x:c r="K223" s="45" t="n">
        <x:f>IF(I223="","",J223/E223)</x:f>
        <x:v>-0.01126650040658271</x:v>
      </x:c>
      <x:c r="L223" s="36" t="str">
        <x:v>Leitura real — sequência serpentina</x:v>
      </x:c>
    </x:row>
    <x:row r="224">
      <x:c r="A224" s="40" t="n">
        <x:v>212</x:v>
      </x:c>
      <x:c r="B224" s="41" t="n">
        <x:v>0.95</x:v>
      </x:c>
      <x:c r="C224" s="41" t="n">
        <x:v>1</x:v>
      </x:c>
      <x:c r="D224" s="42" t="n">
        <x:v>13.201920961928664</x:v>
      </x:c>
      <x:c r="E224" s="42" t="n">
        <x:f>$B$5-D224</x:f>
        <x:v>30.898079038071337</x:v>
      </x:c>
      <x:c r="F224" s="79" t="n">
        <x:v>32.1777</x:v>
      </x:c>
      <x:c r="G224" s="43"/>
      <x:c r="H224" s="43"/>
      <x:c r="I224" s="44" t="n">
        <x:f>IF(COUNT(F224:H224)=0,"",AVERAGE(F224:H224))</x:f>
        <x:v>32.1777</x:v>
      </x:c>
      <x:c r="J224" s="44" t="n">
        <x:f>IF(I224="","",I224-E224)</x:f>
        <x:v>1.2796209619286643</x:v>
      </x:c>
      <x:c r="K224" s="45" t="n">
        <x:f>IF(I224="","",J224/E224)</x:f>
        <x:v>0.04141425621806353</x:v>
      </x:c>
      <x:c r="L224" s="36" t="str">
        <x:v>Leitura real — sequência serpentina</x:v>
      </x:c>
    </x:row>
    <x:row r="225">
      <x:c r="A225" s="40" t="n">
        <x:v>213</x:v>
      </x:c>
      <x:c r="B225" s="41" t="n">
        <x:v>1.2</x:v>
      </x:c>
      <x:c r="C225" s="41" t="n">
        <x:v>1</x:v>
      </x:c>
      <x:c r="D225" s="42" t="n">
        <x:v>13.33004585809023</x:v>
      </x:c>
      <x:c r="E225" s="42" t="n">
        <x:f>$B$5-D225</x:f>
        <x:v>30.76995414190977</x:v>
      </x:c>
      <x:c r="F225" s="79" t="n">
        <x:v>32.9964</x:v>
      </x:c>
      <x:c r="G225" s="43"/>
      <x:c r="H225" s="43"/>
      <x:c r="I225" s="44" t="n">
        <x:f>IF(COUNT(F225:H225)=0,"",AVERAGE(F225:H225))</x:f>
        <x:v>32.9964</x:v>
      </x:c>
      <x:c r="J225" s="44" t="n">
        <x:f>IF(I225="","",I225-E225)</x:f>
        <x:v>2.22644585809023</x:v>
      </x:c>
      <x:c r="K225" s="45" t="n">
        <x:f>IF(I225="","",J225/E225)</x:f>
        <x:v>0.07235778928437633</x:v>
      </x:c>
      <x:c r="L225" s="36" t="str">
        <x:v>Leitura real — sequência serpentina</x:v>
      </x:c>
    </x:row>
    <x:row r="226">
      <x:c r="A226" s="40" t="n">
        <x:v>214</x:v>
      </x:c>
      <x:c r="B226" s="41" t="n">
        <x:v>1.45</x:v>
      </x:c>
      <x:c r="C226" s="41" t="n">
        <x:v>1</x:v>
      </x:c>
      <x:c r="D226" s="42" t="n">
        <x:v>13.201920961928664</x:v>
      </x:c>
      <x:c r="E226" s="42" t="n">
        <x:f>$B$5-D226</x:f>
        <x:v>30.898079038071337</x:v>
      </x:c>
      <x:c r="F226" s="79" t="n">
        <x:v>29.4193</x:v>
      </x:c>
      <x:c r="G226" s="43"/>
      <x:c r="H226" s="43"/>
      <x:c r="I226" s="44" t="n">
        <x:f>IF(COUNT(F226:H226)=0,"",AVERAGE(F226:H226))</x:f>
        <x:v>29.4193</x:v>
      </x:c>
      <x:c r="J226" s="44" t="n">
        <x:f>IF(I226="","",I226-E226)</x:f>
        <x:v>-1.4787790380713375</x:v>
      </x:c>
      <x:c r="K226" s="45" t="n">
        <x:f>IF(I226="","",J226/E226)</x:f>
        <x:v>-0.047859902107482054</x:v>
      </x:c>
      <x:c r="L226" s="36" t="str">
        <x:v>Leitura real — sequência serpentina</x:v>
      </x:c>
    </x:row>
    <x:row r="227">
      <x:c r="A227" s="40" t="n">
        <x:v>215</x:v>
      </x:c>
      <x:c r="B227" s="41" t="n">
        <x:v>1.7</x:v>
      </x:c>
      <x:c r="C227" s="41" t="n">
        <x:v>1</x:v>
      </x:c>
      <x:c r="D227" s="42" t="n">
        <x:v>12.819275707035112</x:v>
      </x:c>
      <x:c r="E227" s="42" t="n">
        <x:f>$B$5-D227</x:f>
        <x:v>31.28072429296489</x:v>
      </x:c>
      <x:c r="F227" s="79" t="n">
        <x:v>31.9959</x:v>
      </x:c>
      <x:c r="G227" s="43"/>
      <x:c r="H227" s="43"/>
      <x:c r="I227" s="44" t="n">
        <x:f>IF(COUNT(F227:H227)=0,"",AVERAGE(F227:H227))</x:f>
        <x:v>31.9959</x:v>
      </x:c>
      <x:c r="J227" s="44" t="n">
        <x:f>IF(I227="","",I227-E227)</x:f>
        <x:v>0.7151757070351081</x:v>
      </x:c>
      <x:c r="K227" s="45" t="n">
        <x:f>IF(I227="","",J227/E227)</x:f>
        <x:v>0.022863144099126657</x:v>
      </x:c>
      <x:c r="L227" s="36" t="str">
        <x:v>Leitura real — sequência serpentina</x:v>
      </x:c>
    </x:row>
    <x:row r="228">
      <x:c r="A228" s="40" t="n">
        <x:v>216</x:v>
      </x:c>
      <x:c r="B228" s="41" t="n">
        <x:v>1.95</x:v>
      </x:c>
      <x:c r="C228" s="41" t="n">
        <x:v>1</x:v>
      </x:c>
      <x:c r="D228" s="42" t="n">
        <x:v>12.192796631074254</x:v>
      </x:c>
      <x:c r="E228" s="42" t="n">
        <x:f>$B$5-D228</x:f>
        <x:v>31.90720336892575</x:v>
      </x:c>
      <x:c r="F228" s="79" t="n">
        <x:v>32.6442</x:v>
      </x:c>
      <x:c r="G228" s="43"/>
      <x:c r="H228" s="43"/>
      <x:c r="I228" s="44" t="n">
        <x:f>IF(COUNT(F228:H228)=0,"",AVERAGE(F228:H228))</x:f>
        <x:v>32.6442</x:v>
      </x:c>
      <x:c r="J228" s="44" t="n">
        <x:f>IF(I228="","",I228-E228)</x:f>
        <x:v>0.7369966310742484</x:v>
      </x:c>
      <x:c r="K228" s="45" t="n">
        <x:f>IF(I228="","",J228/E228)</x:f>
        <x:v>0.023098126857210098</x:v>
      </x:c>
      <x:c r="L228" s="36" t="str">
        <x:v>Leitura real — sequência serpentina</x:v>
      </x:c>
    </x:row>
    <x:row r="229">
      <x:c r="A229" s="40" t="n">
        <x:v>217</x:v>
      </x:c>
      <x:c r="B229" s="41" t="n">
        <x:v>2.2</x:v>
      </x:c>
      <x:c r="C229" s="41" t="n">
        <x:v>1</x:v>
      </x:c>
      <x:c r="D229" s="42" t="n">
        <x:v>11.3571879313731</x:v>
      </x:c>
      <x:c r="E229" s="42" t="n">
        <x:f>$B$5-D229</x:f>
        <x:v>32.742812068626904</x:v>
      </x:c>
      <x:c r="F229" s="79" t="n">
        <x:v>32.0241</x:v>
      </x:c>
      <x:c r="G229" s="43"/>
      <x:c r="H229" s="43"/>
      <x:c r="I229" s="44" t="n">
        <x:f>IF(COUNT(F229:H229)=0,"",AVERAGE(F229:H229))</x:f>
        <x:v>32.0241</x:v>
      </x:c>
      <x:c r="J229" s="44" t="n">
        <x:f>IF(I229="","",I229-E229)</x:f>
        <x:v>-0.7187120686269068</x:v>
      </x:c>
      <x:c r="K229" s="45" t="n">
        <x:f>IF(I229="","",J229/E229)</x:f>
        <x:v>-0.021950224284967672</x:v>
      </x:c>
      <x:c r="L229" s="36" t="str">
        <x:v>Leitura real — sequência serpentina</x:v>
      </x:c>
    </x:row>
    <x:row r="230">
      <x:c r="A230" s="40" t="n">
        <x:v>218</x:v>
      </x:c>
      <x:c r="B230" s="41" t="n">
        <x:v>2.45</x:v>
      </x:c>
      <x:c r="C230" s="41" t="n">
        <x:v>1</x:v>
      </x:c>
      <x:c r="D230" s="42" t="n">
        <x:v>10.385202601401733</x:v>
      </x:c>
      <x:c r="E230" s="42" t="n">
        <x:f>$B$5-D230</x:f>
        <x:v>33.714797398598265</x:v>
      </x:c>
      <x:c r="F230" s="79" t="n">
        <x:v>33.0617</x:v>
      </x:c>
      <x:c r="G230" s="43"/>
      <x:c r="H230" s="43"/>
      <x:c r="I230" s="44" t="n">
        <x:f>IF(COUNT(F230:H230)=0,"",AVERAGE(F230:H230))</x:f>
        <x:v>33.0617</x:v>
      </x:c>
      <x:c r="J230" s="44" t="n">
        <x:f>IF(I230="","",I230-E230)</x:f>
        <x:v>-0.6530973985982627</x:v>
      </x:c>
      <x:c r="K230" s="45" t="n">
        <x:f>IF(I230="","",J230/E230)</x:f>
        <x:v>-0.019371239010483154</x:v>
      </x:c>
      <x:c r="L230" s="36" t="str">
        <x:v>Leitura real — sequência serpentina</x:v>
      </x:c>
    </x:row>
    <x:row r="231">
      <x:c r="A231" s="40" t="n">
        <x:v>219</x:v>
      </x:c>
      <x:c r="B231" s="41" t="n">
        <x:v>2.7</x:v>
      </x:c>
      <x:c r="C231" s="41" t="n">
        <x:v>1</x:v>
      </x:c>
      <x:c r="D231" s="42" t="n">
        <x:v>9.37753305625155</x:v>
      </x:c>
      <x:c r="E231" s="42" t="n">
        <x:f>$B$5-D231</x:f>
        <x:v>34.72246694374845</x:v>
      </x:c>
      <x:c r="F231" s="79" t="n">
        <x:v>32.0384</x:v>
      </x:c>
      <x:c r="G231" s="43"/>
      <x:c r="H231" s="43"/>
      <x:c r="I231" s="44" t="n">
        <x:f>IF(COUNT(F231:H231)=0,"",AVERAGE(F231:H231))</x:f>
        <x:v>32.0384</x:v>
      </x:c>
      <x:c r="J231" s="44" t="n">
        <x:f>IF(I231="","",I231-E231)</x:f>
        <x:v>-2.684066943748448</x:v>
      </x:c>
      <x:c r="K231" s="45" t="n">
        <x:f>IF(I231="","",J231/E231)</x:f>
        <x:v>-0.0773005831669946</x:v>
      </x:c>
      <x:c r="L231" s="36" t="str">
        <x:v>Leitura real — sequência serpentina</x:v>
      </x:c>
    </x:row>
    <x:row r="232">
      <x:c r="A232" s="40" t="n">
        <x:v>220</x:v>
      </x:c>
      <x:c r="B232" s="41" t="n">
        <x:v>2.95</x:v>
      </x:c>
      <x:c r="C232" s="41" t="n">
        <x:v>1</x:v>
      </x:c>
      <x:c r="D232" s="42" t="n">
        <x:v>8.42447778196171</x:v>
      </x:c>
      <x:c r="E232" s="42" t="n">
        <x:f>$B$5-D232</x:f>
        <x:v>35.675522218038296</x:v>
      </x:c>
      <x:c r="F232" s="79" t="n">
        <x:v>33.9057</x:v>
      </x:c>
      <x:c r="G232" s="43"/>
      <x:c r="H232" s="43"/>
      <x:c r="I232" s="44" t="n">
        <x:f>IF(COUNT(F232:H232)=0,"",AVERAGE(F232:H232))</x:f>
        <x:v>33.9057</x:v>
      </x:c>
      <x:c r="J232" s="44" t="n">
        <x:f>IF(I232="","",I232-E232)</x:f>
        <x:v>-1.7698222180382928</x:v>
      </x:c>
      <x:c r="K232" s="45" t="n">
        <x:f>IF(I232="","",J232/E232)</x:f>
        <x:v>-0.04960886647213347</x:v>
      </x:c>
      <x:c r="L232" s="36" t="str">
        <x:v>Leitura real — sequência serpentina</x:v>
      </x:c>
    </x:row>
    <x:row r="233">
      <x:c r="A233" s="40" t="n">
        <x:v>221</x:v>
      </x:c>
      <x:c r="B233" s="41" t="n">
        <x:v>3.2</x:v>
      </x:c>
      <x:c r="C233" s="41" t="n">
        <x:v>1</x:v>
      </x:c>
      <x:c r="D233" s="42" t="n">
        <x:v>7.5762229556528595</x:v>
      </x:c>
      <x:c r="E233" s="42" t="n">
        <x:f>$B$5-D233</x:f>
        <x:v>36.52377704434714</x:v>
      </x:c>
      <x:c r="F233" s="79" t="n">
        <x:v>33.7208</x:v>
      </x:c>
      <x:c r="G233" s="43"/>
      <x:c r="H233" s="43"/>
      <x:c r="I233" s="44" t="n">
        <x:f>IF(COUNT(F233:H233)=0,"",AVERAGE(F233:H233))</x:f>
        <x:v>33.7208</x:v>
      </x:c>
      <x:c r="J233" s="44" t="n">
        <x:f>IF(I233="","",I233-E233)</x:f>
        <x:v>-2.802977044347145</x:v>
      </x:c>
      <x:c r="K233" s="45" t="n">
        <x:f>IF(I233="","",J233/E233)</x:f>
        <x:v>-0.07674389866480053</x:v>
      </x:c>
      <x:c r="L233" s="36" t="str">
        <x:v>Leitura real — sequência serpentina</x:v>
      </x:c>
    </x:row>
    <x:row r="234">
      <x:c r="A234" s="40" t="n">
        <x:v>222</x:v>
      </x:c>
      <x:c r="B234" s="41" t="n">
        <x:v>-0.8</x:v>
      </x:c>
      <x:c r="C234" s="41" t="n">
        <x:v>1.25</x:v>
      </x:c>
      <x:c r="D234" s="42" t="n">
        <x:v>7.048306503321335</x:v>
      </x:c>
      <x:c r="E234" s="42" t="n">
        <x:f>$B$5-D234</x:f>
        <x:v>37.051693496678666</x:v>
      </x:c>
      <x:c r="F234" s="79" t="n">
        <x:v>39.1685</x:v>
      </x:c>
      <x:c r="G234" s="43"/>
      <x:c r="H234" s="43"/>
      <x:c r="I234" s="44" t="n">
        <x:f>IF(COUNT(F234:H234)=0,"",AVERAGE(F234:H234))</x:f>
        <x:v>39.1685</x:v>
      </x:c>
      <x:c r="J234" s="44" t="n">
        <x:f>IF(I234="","",I234-E234)</x:f>
        <x:v>2.1168065033213352</x:v>
      </x:c>
      <x:c r="K234" s="45" t="n">
        <x:f>IF(I234="","",J234/E234)</x:f>
        <x:v>0.05713116739214867</x:v>
      </x:c>
      <x:c r="L234" s="36" t="str">
        <x:v>Leitura real — sequência serpentina</x:v>
      </x:c>
    </x:row>
    <x:row r="235">
      <x:c r="A235" s="40" t="n">
        <x:v>223</x:v>
      </x:c>
      <x:c r="B235" s="41" t="n">
        <x:v>-0.55</x:v>
      </x:c>
      <x:c r="C235" s="41" t="n">
        <x:v>1.25</x:v>
      </x:c>
      <x:c r="D235" s="42" t="n">
        <x:v>7.707572810864379</x:v>
      </x:c>
      <x:c r="E235" s="42" t="n">
        <x:f>$B$5-D235</x:f>
        <x:v>36.392427189135624</x:v>
      </x:c>
      <x:c r="F235" s="79" t="n">
        <x:v>38.2991</x:v>
      </x:c>
      <x:c r="G235" s="43"/>
      <x:c r="H235" s="43"/>
      <x:c r="I235" s="44" t="n">
        <x:f>IF(COUNT(F235:H235)=0,"",AVERAGE(F235:H235))</x:f>
        <x:v>38.2991</x:v>
      </x:c>
      <x:c r="J235" s="44" t="n">
        <x:f>IF(I235="","",I235-E235)</x:f>
        <x:v>1.9066728108643787</x:v>
      </x:c>
      <x:c r="K235" s="45" t="n">
        <x:f>IF(I235="","",J235/E235)</x:f>
        <x:v>0.052392021036551946</x:v>
      </x:c>
      <x:c r="L235" s="36" t="str">
        <x:v>Leitura real — sequência serpentina</x:v>
      </x:c>
    </x:row>
    <x:row r="236">
      <x:c r="A236" s="40" t="n">
        <x:v>224</x:v>
      </x:c>
      <x:c r="B236" s="41" t="n">
        <x:v>-0.30000000000000004</x:v>
      </x:c>
      <x:c r="C236" s="41" t="n">
        <x:v>1.25</x:v>
      </x:c>
      <x:c r="D236" s="42" t="n">
        <x:v>8.415644093049599</x:v>
      </x:c>
      <x:c r="E236" s="42" t="n">
        <x:f>$B$5-D236</x:f>
        <x:v>35.6843559069504</x:v>
      </x:c>
      <x:c r="F236" s="79" t="n">
        <x:v>33.392</x:v>
      </x:c>
      <x:c r="G236" s="43"/>
      <x:c r="H236" s="43"/>
      <x:c r="I236" s="44" t="n">
        <x:f>IF(COUNT(F236:H236)=0,"",AVERAGE(F236:H236))</x:f>
        <x:v>33.392</x:v>
      </x:c>
      <x:c r="J236" s="44" t="n">
        <x:f>IF(I236="","",I236-E236)</x:f>
        <x:v>-2.292355906950398</x:v>
      </x:c>
      <x:c r="K236" s="45" t="n">
        <x:f>IF(I236="","",J236/E236)</x:f>
        <x:v>-0.06423980057053252</x:v>
      </x:c>
      <x:c r="L236" s="36" t="str">
        <x:v>Leitura real — sequência serpentina</x:v>
      </x:c>
    </x:row>
    <x:row r="237">
      <x:c r="A237" s="40" t="n">
        <x:v>225</x:v>
      </x:c>
      <x:c r="B237" s="41" t="n">
        <x:v>-0.050000000000000044</x:v>
      </x:c>
      <x:c r="C237" s="41" t="n">
        <x:v>1.25</x:v>
      </x:c>
      <x:c r="D237" s="42" t="n">
        <x:v>9.136972281704445</x:v>
      </x:c>
      <x:c r="E237" s="42" t="n">
        <x:f>$B$5-D237</x:f>
        <x:v>34.96302771829556</x:v>
      </x:c>
      <x:c r="F237" s="79" t="n">
        <x:v>39.8971</x:v>
      </x:c>
      <x:c r="G237" s="43"/>
      <x:c r="H237" s="43"/>
      <x:c r="I237" s="44" t="n">
        <x:f>IF(COUNT(F237:H237)=0,"",AVERAGE(F237:H237))</x:f>
        <x:v>39.8971</x:v>
      </x:c>
      <x:c r="J237" s="44" t="n">
        <x:f>IF(I237="","",I237-E237)</x:f>
        <x:v>4.934072281704445</x:v>
      </x:c>
      <x:c r="K237" s="45" t="n">
        <x:f>IF(I237="","",J237/E237)</x:f>
        <x:v>0.14112256871628223</x:v>
      </x:c>
      <x:c r="L237" s="36" t="str">
        <x:v>Leitura real — sequência serpentina</x:v>
      </x:c>
    </x:row>
    <x:row r="238">
      <x:c r="A238" s="40" t="n">
        <x:v>226</x:v>
      </x:c>
      <x:c r="B238" s="41" t="n">
        <x:v>0.19999999999999996</x:v>
      </x:c>
      <x:c r="C238" s="41" t="n">
        <x:v>1.25</x:v>
      </x:c>
      <x:c r="D238" s="42" t="n">
        <x:v>9.819687187132912</x:v>
      </x:c>
      <x:c r="E238" s="42" t="n">
        <x:f>$B$5-D238</x:f>
        <x:v>34.28031281286709</x:v>
      </x:c>
      <x:c r="F238" s="79" t="n">
        <x:v>37.8616</x:v>
      </x:c>
      <x:c r="G238" s="43"/>
      <x:c r="H238" s="43"/>
      <x:c r="I238" s="44" t="n">
        <x:f>IF(COUNT(F238:H238)=0,"",AVERAGE(F238:H238))</x:f>
        <x:v>37.8616</x:v>
      </x:c>
      <x:c r="J238" s="44" t="n">
        <x:f>IF(I238="","",I238-E238)</x:f>
        <x:v>3.581287187132915</x:v>
      </x:c>
      <x:c r="K238" s="45" t="n">
        <x:f>IF(I238="","",J238/E238)</x:f>
        <x:v>0.10447066824281376</x:v>
      </x:c>
      <x:c r="L238" s="36" t="str">
        <x:v>Leitura real — sequência serpentina</x:v>
      </x:c>
    </x:row>
    <x:row r="239">
      <x:c r="A239" s="40" t="n">
        <x:v>227</x:v>
      </x:c>
      <x:c r="B239" s="41" t="n">
        <x:v>0.44999999999999996</x:v>
      </x:c>
      <x:c r="C239" s="41" t="n">
        <x:v>1.25</x:v>
      </x:c>
      <x:c r="D239" s="42" t="n">
        <x:v>10.407677218416746</x:v>
      </x:c>
      <x:c r="E239" s="42" t="n">
        <x:f>$B$5-D239</x:f>
        <x:v>33.69232278158326</x:v>
      </x:c>
      <x:c r="F239" s="79" t="n">
        <x:v>37.3522</x:v>
      </x:c>
      <x:c r="G239" s="43"/>
      <x:c r="H239" s="43"/>
      <x:c r="I239" s="44" t="n">
        <x:f>IF(COUNT(F239:H239)=0,"",AVERAGE(F239:H239))</x:f>
        <x:v>37.3522</x:v>
      </x:c>
      <x:c r="J239" s="44" t="n">
        <x:f>IF(I239="","",I239-E239)</x:f>
        <x:v>3.659877218416746</x:v>
      </x:c>
      <x:c r="K239" s="45" t="n">
        <x:f>IF(I239="","",J239/E239)</x:f>
        <x:v>0.10862644413513962</x:v>
      </x:c>
      <x:c r="L239" s="36" t="str">
        <x:v>Leitura real — sequência serpentina</x:v>
      </x:c>
    </x:row>
    <x:row r="240">
      <x:c r="A240" s="40" t="n">
        <x:v>228</x:v>
      </x:c>
      <x:c r="B240" s="41" t="n">
        <x:v>0.7</x:v>
      </x:c>
      <x:c r="C240" s="41" t="n">
        <x:v>1.25</x:v>
      </x:c>
      <x:c r="D240" s="42" t="n">
        <x:v>10.8550447063092</x:v>
      </x:c>
      <x:c r="E240" s="42" t="n">
        <x:f>$B$5-D240</x:f>
        <x:v>33.2449552936908</x:v>
      </x:c>
      <x:c r="F240" s="79" t="n">
        <x:v>37.0607</x:v>
      </x:c>
      <x:c r="G240" s="43"/>
      <x:c r="H240" s="43"/>
      <x:c r="I240" s="44" t="n">
        <x:f>IF(COUNT(F240:H240)=0,"",AVERAGE(F240:H240))</x:f>
        <x:v>37.0607</x:v>
      </x:c>
      <x:c r="J240" s="44" t="n">
        <x:f>IF(I240="","",I240-E240)</x:f>
        <x:v>3.8157447063091965</x:v>
      </x:c>
      <x:c r="K240" s="45" t="n">
        <x:f>IF(I240="","",J240/E240)</x:f>
        <x:v>0.11477665325762508</x:v>
      </x:c>
      <x:c r="L240" s="36" t="str">
        <x:v>Leitura real — sequência serpentina</x:v>
      </x:c>
    </x:row>
    <x:row r="241">
      <x:c r="A241" s="40" t="n">
        <x:v>229</x:v>
      </x:c>
      <x:c r="B241" s="41" t="n">
        <x:v>0.95</x:v>
      </x:c>
      <x:c r="C241" s="41" t="n">
        <x:v>1.25</x:v>
      </x:c>
      <x:c r="D241" s="42" t="n">
        <x:v>11.13278339116863</x:v>
      </x:c>
      <x:c r="E241" s="42" t="n">
        <x:f>$B$5-D241</x:f>
        <x:v>32.96721660883137</x:v>
      </x:c>
      <x:c r="F241" s="79" t="n">
        <x:v>33.011</x:v>
      </x:c>
      <x:c r="G241" s="43"/>
      <x:c r="H241" s="43"/>
      <x:c r="I241" s="44" t="n">
        <x:f>IF(COUNT(F241:H241)=0,"",AVERAGE(F241:H241))</x:f>
        <x:v>33.011</x:v>
      </x:c>
      <x:c r="J241" s="44" t="n">
        <x:f>IF(I241="","",I241-E241)</x:f>
        <x:v>0.04378339116863117</x:v>
      </x:c>
      <x:c r="K241" s="45" t="n">
        <x:f>IF(I241="","",J241/E241)</x:f>
        <x:v>0.0013280888007057995</x:v>
      </x:c>
      <x:c r="L241" s="36" t="str">
        <x:v>Leitura real — sequência serpentina</x:v>
      </x:c>
    </x:row>
    <x:row r="242">
      <x:c r="A242" s="40" t="n">
        <x:v>230</x:v>
      </x:c>
      <x:c r="B242" s="41" t="n">
        <x:v>1.2</x:v>
      </x:c>
      <x:c r="C242" s="41" t="n">
        <x:v>1.25</x:v>
      </x:c>
      <x:c r="D242" s="42" t="n">
        <x:v>11.226706698609659</x:v>
      </x:c>
      <x:c r="E242" s="42" t="n">
        <x:f>$B$5-D242</x:f>
        <x:v>32.87329330139034</x:v>
      </x:c>
      <x:c r="F242" s="79" t="n">
        <x:v>32.9726</x:v>
      </x:c>
      <x:c r="G242" s="43"/>
      <x:c r="H242" s="43"/>
      <x:c r="I242" s="44" t="n">
        <x:f>IF(COUNT(F242:H242)=0,"",AVERAGE(F242:H242))</x:f>
        <x:v>32.9726</x:v>
      </x:c>
      <x:c r="J242" s="44" t="n">
        <x:f>IF(I242="","",I242-E242)</x:f>
        <x:v>0.09930669860965935</x:v>
      </x:c>
      <x:c r="K242" s="45" t="n">
        <x:f>IF(I242="","",J242/E242)</x:f>
        <x:v>0.0030208929083919704</x:v>
      </x:c>
      <x:c r="L242" s="36" t="str">
        <x:v>Leitura real — sequência serpentina</x:v>
      </x:c>
    </x:row>
    <x:row r="243">
      <x:c r="A243" s="40" t="n">
        <x:v>231</x:v>
      </x:c>
      <x:c r="B243" s="41" t="n">
        <x:v>1.45</x:v>
      </x:c>
      <x:c r="C243" s="41" t="n">
        <x:v>1.25</x:v>
      </x:c>
      <x:c r="D243" s="42" t="n">
        <x:v>11.13278339116863</x:v>
      </x:c>
      <x:c r="E243" s="42" t="n">
        <x:f>$B$5-D243</x:f>
        <x:v>32.96721660883137</x:v>
      </x:c>
      <x:c r="F243" s="79" t="n">
        <x:v>31.1703</x:v>
      </x:c>
      <x:c r="G243" s="43"/>
      <x:c r="H243" s="43"/>
      <x:c r="I243" s="44" t="n">
        <x:f>IF(COUNT(F243:H243)=0,"",AVERAGE(F243:H243))</x:f>
        <x:v>31.1703</x:v>
      </x:c>
      <x:c r="J243" s="44" t="n">
        <x:f>IF(I243="","",I243-E243)</x:f>
        <x:v>-1.7969166088313706</x:v>
      </x:c>
      <x:c r="K243" s="45" t="n">
        <x:f>IF(I243="","",J243/E243)</x:f>
        <x:v>-0.05450616684303298</x:v>
      </x:c>
      <x:c r="L243" s="36" t="str">
        <x:v>Leitura real — sequência serpentina</x:v>
      </x:c>
    </x:row>
    <x:row r="244">
      <x:c r="A244" s="40" t="n">
        <x:v>232</x:v>
      </x:c>
      <x:c r="B244" s="41" t="n">
        <x:v>1.7</x:v>
      </x:c>
      <x:c r="C244" s="41" t="n">
        <x:v>1.25</x:v>
      </x:c>
      <x:c r="D244" s="42" t="n">
        <x:v>10.8550447063092</x:v>
      </x:c>
      <x:c r="E244" s="42" t="n">
        <x:f>$B$5-D244</x:f>
        <x:v>33.2449552936908</x:v>
      </x:c>
      <x:c r="F244" s="79" t="n">
        <x:v>32.2955</x:v>
      </x:c>
      <x:c r="G244" s="43"/>
      <x:c r="H244" s="43"/>
      <x:c r="I244" s="44" t="n">
        <x:f>IF(COUNT(F244:H244)=0,"",AVERAGE(F244:H244))</x:f>
        <x:v>32.2955</x:v>
      </x:c>
      <x:c r="J244" s="44" t="n">
        <x:f>IF(I244="","",I244-E244)</x:f>
        <x:v>-0.9494552936908036</x:v>
      </x:c>
      <x:c r="K244" s="45" t="n">
        <x:f>IF(I244="","",J244/E244)</x:f>
        <x:v>-0.02855937946985269</x:v>
      </x:c>
      <x:c r="L244" s="36" t="str">
        <x:v>Leitura real — sequência serpentina</x:v>
      </x:c>
    </x:row>
    <x:row r="245">
      <x:c r="A245" s="40" t="n">
        <x:v>233</x:v>
      </x:c>
      <x:c r="B245" s="41" t="n">
        <x:v>1.95</x:v>
      </x:c>
      <x:c r="C245" s="41" t="n">
        <x:v>1.25</x:v>
      </x:c>
      <x:c r="D245" s="42" t="n">
        <x:v>10.407677218416746</x:v>
      </x:c>
      <x:c r="E245" s="42" t="n">
        <x:f>$B$5-D245</x:f>
        <x:v>33.69232278158326</x:v>
      </x:c>
      <x:c r="F245" s="79" t="n">
        <x:v>32.7313</x:v>
      </x:c>
      <x:c r="G245" s="43"/>
      <x:c r="H245" s="43"/>
      <x:c r="I245" s="44" t="n">
        <x:f>IF(COUNT(F245:H245)=0,"",AVERAGE(F245:H245))</x:f>
        <x:v>32.7313</x:v>
      </x:c>
      <x:c r="J245" s="44" t="n">
        <x:f>IF(I245="","",I245-E245)</x:f>
        <x:v>-0.9610227815832602</x:v>
      </x:c>
      <x:c r="K245" s="45" t="n">
        <x:f>IF(I245="","",J245/E245)</x:f>
        <x:v>-0.028523494441545894</x:v>
      </x:c>
      <x:c r="L245" s="36" t="str">
        <x:v>Leitura real — sequência serpentina</x:v>
      </x:c>
    </x:row>
    <x:row r="246">
      <x:c r="A246" s="40" t="n">
        <x:v>234</x:v>
      </x:c>
      <x:c r="B246" s="41" t="n">
        <x:v>2.2</x:v>
      </x:c>
      <x:c r="C246" s="41" t="n">
        <x:v>1.25</x:v>
      </x:c>
      <x:c r="D246" s="42" t="n">
        <x:v>9.81968718713291</x:v>
      </x:c>
      <x:c r="E246" s="42" t="n">
        <x:f>$B$5-D246</x:f>
        <x:v>34.280312812867095</x:v>
      </x:c>
      <x:c r="F246" s="79" t="n">
        <x:v>34.4698</x:v>
      </x:c>
      <x:c r="G246" s="43"/>
      <x:c r="H246" s="43"/>
      <x:c r="I246" s="44" t="n">
        <x:f>IF(COUNT(F246:H246)=0,"",AVERAGE(F246:H246))</x:f>
        <x:v>34.4698</x:v>
      </x:c>
      <x:c r="J246" s="44" t="n">
        <x:f>IF(I246="","",I246-E246)</x:f>
        <x:v>0.18948718713290447</x:v>
      </x:c>
      <x:c r="K246" s="45" t="n">
        <x:f>IF(I246="","",J246/E246)</x:f>
        <x:v>0.005527580456085587</x:v>
      </x:c>
      <x:c r="L246" s="36" t="str">
        <x:v>Leitura real — sequência serpentina</x:v>
      </x:c>
    </x:row>
    <x:row r="247">
      <x:c r="A247" s="40" t="n">
        <x:v>235</x:v>
      </x:c>
      <x:c r="B247" s="41" t="n">
        <x:v>2.45</x:v>
      </x:c>
      <x:c r="C247" s="41" t="n">
        <x:v>1.25</x:v>
      </x:c>
      <x:c r="D247" s="42" t="n">
        <x:v>9.136972281704445</x:v>
      </x:c>
      <x:c r="E247" s="42" t="n">
        <x:f>$B$5-D247</x:f>
        <x:v>34.96302771829556</x:v>
      </x:c>
      <x:c r="F247" s="79" t="n">
        <x:v>36.3844</x:v>
      </x:c>
      <x:c r="G247" s="43"/>
      <x:c r="H247" s="43"/>
      <x:c r="I247" s="44" t="n">
        <x:f>IF(COUNT(F247:H247)=0,"",AVERAGE(F247:H247))</x:f>
        <x:v>36.3844</x:v>
      </x:c>
      <x:c r="J247" s="44" t="n">
        <x:f>IF(I247="","",I247-E247)</x:f>
        <x:v>1.4213722817044427</x:v>
      </x:c>
      <x:c r="K247" s="45" t="n">
        <x:f>IF(I247="","",J247/E247)</x:f>
        <x:v>0.04065358106731308</x:v>
      </x:c>
      <x:c r="L247" s="36" t="str">
        <x:v>Leitura real — sequência serpentina</x:v>
      </x:c>
    </x:row>
    <x:row r="248">
      <x:c r="A248" s="40" t="n">
        <x:v>236</x:v>
      </x:c>
      <x:c r="B248" s="41" t="n">
        <x:v>2.7</x:v>
      </x:c>
      <x:c r="C248" s="41" t="n">
        <x:v>1.25</x:v>
      </x:c>
      <x:c r="D248" s="42" t="n">
        <x:v>8.415644093049599</x:v>
      </x:c>
      <x:c r="E248" s="42" t="n">
        <x:f>$B$5-D248</x:f>
        <x:v>35.6843559069504</x:v>
      </x:c>
      <x:c r="F248" s="79" t="n">
        <x:v>35.1247</x:v>
      </x:c>
      <x:c r="G248" s="43"/>
      <x:c r="H248" s="43"/>
      <x:c r="I248" s="44" t="n">
        <x:f>IF(COUNT(F248:H248)=0,"",AVERAGE(F248:H248))</x:f>
        <x:v>35.1247</x:v>
      </x:c>
      <x:c r="J248" s="44" t="n">
        <x:f>IF(I248="","",I248-E248)</x:f>
        <x:v>-0.5596559069504039</x:v>
      </x:c>
      <x:c r="K248" s="45" t="n">
        <x:f>IF(I248="","",J248/E248)</x:f>
        <x:v>-0.01568350871765062</x:v>
      </x:c>
      <x:c r="L248" s="36" t="str">
        <x:v>Leitura real — sequência serpentina</x:v>
      </x:c>
    </x:row>
    <x:row r="249">
      <x:c r="A249" s="40" t="n">
        <x:v>237</x:v>
      </x:c>
      <x:c r="B249" s="41" t="n">
        <x:v>2.95</x:v>
      </x:c>
      <x:c r="C249" s="41" t="n">
        <x:v>1.25</x:v>
      </x:c>
      <x:c r="D249" s="42" t="n">
        <x:v>7.707572810864378</x:v>
      </x:c>
      <x:c r="E249" s="42" t="n">
        <x:f>$B$5-D249</x:f>
        <x:v>36.392427189135624</x:v>
      </x:c>
      <x:c r="F249" s="79" t="n">
        <x:v>35.7906</x:v>
      </x:c>
      <x:c r="G249" s="43"/>
      <x:c r="H249" s="43"/>
      <x:c r="I249" s="44" t="n">
        <x:f>IF(COUNT(F249:H249)=0,"",AVERAGE(F249:H249))</x:f>
        <x:v>35.7906</x:v>
      </x:c>
      <x:c r="J249" s="44" t="n">
        <x:f>IF(I249="","",I249-E249)</x:f>
        <x:v>-0.6018271891356264</x:v>
      </x:c>
      <x:c r="K249" s="45" t="n">
        <x:f>IF(I249="","",J249/E249)</x:f>
        <x:v>-0.016537154447211266</x:v>
      </x:c>
      <x:c r="L249" s="36" t="str">
        <x:v>Leitura real — sequência serpentina</x:v>
      </x:c>
    </x:row>
    <x:row r="250">
      <x:c r="A250" s="40" t="n">
        <x:v>238</x:v>
      </x:c>
      <x:c r="B250" s="41" t="n">
        <x:v>3.2</x:v>
      </x:c>
      <x:c r="C250" s="41" t="n">
        <x:v>1.25</x:v>
      </x:c>
      <x:c r="D250" s="42" t="n">
        <x:v>7.048306503321333</x:v>
      </x:c>
      <x:c r="E250" s="42" t="n">
        <x:f>$B$5-D250</x:f>
        <x:v>37.051693496678666</x:v>
      </x:c>
      <x:c r="F250" s="79" t="n">
        <x:v>36.3186</x:v>
      </x:c>
      <x:c r="G250" s="43"/>
      <x:c r="H250" s="43"/>
      <x:c r="I250" s="44" t="n">
        <x:f>IF(COUNT(F250:H250)=0,"",AVERAGE(F250:H250))</x:f>
        <x:v>36.3186</x:v>
      </x:c>
      <x:c r="J250" s="44" t="n">
        <x:f>IF(I250="","",I250-E250)</x:f>
        <x:v>-0.7330934966786629</x:v>
      </x:c>
      <x:c r="K250" s="45" t="n">
        <x:f>IF(I250="","",J250/E250)</x:f>
        <x:v>-0.019785694727944832</x:v>
      </x:c>
      <x:c r="L250" s="36" t="str">
        <x:v>Leitura real — sequência serpentina</x:v>
      </x:c>
    </x:row>
    <x:row r="251">
      <x:c r="A251" s="40" t="n">
        <x:v>239</x:v>
      </x:c>
      <x:c r="B251" s="41" t="n">
        <x:v>-0.8</x:v>
      </x:c>
      <x:c r="C251" s="41" t="n">
        <x:v>1.5</x:v>
      </x:c>
      <x:c r="D251" s="42" t="n">
        <x:v>6.552655338928766</x:v>
      </x:c>
      <x:c r="E251" s="42" t="n">
        <x:f>$B$5-D251</x:f>
        <x:v>37.547344661071236</x:v>
      </x:c>
      <x:c r="F251" s="79" t="n">
        <x:v>39.0006</x:v>
      </x:c>
      <x:c r="G251" s="43"/>
      <x:c r="H251" s="43"/>
      <x:c r="I251" s="44" t="n">
        <x:f>IF(COUNT(F251:H251)=0,"",AVERAGE(F251:H251))</x:f>
        <x:v>39.0006</x:v>
      </x:c>
      <x:c r="J251" s="44" t="n">
        <x:f>IF(I251="","",I251-E251)</x:f>
        <x:v>1.4532553389287628</x:v>
      </x:c>
      <x:c r="K251" s="45" t="n">
        <x:f>IF(I251="","",J251/E251)</x:f>
        <x:v>0.038704610194059484</x:v>
      </x:c>
      <x:c r="L251" s="36" t="str">
        <x:v>Leitura real — sequência serpentina</x:v>
      </x:c>
    </x:row>
    <x:row r="252">
      <x:c r="A252" s="40" t="n">
        <x:v>240</x:v>
      </x:c>
      <x:c r="B252" s="41" t="n">
        <x:v>-0.55</x:v>
      </x:c>
      <x:c r="C252" s="41" t="n">
        <x:v>1.5</x:v>
      </x:c>
      <x:c r="D252" s="42" t="n">
        <x:v>7.070611693314394</x:v>
      </x:c>
      <x:c r="E252" s="42" t="n">
        <x:f>$B$5-D252</x:f>
        <x:v>37.029388306685604</x:v>
      </x:c>
      <x:c r="F252" s="79" t="n">
        <x:v>42.2295</x:v>
      </x:c>
      <x:c r="G252" s="43"/>
      <x:c r="H252" s="43"/>
      <x:c r="I252" s="44" t="n">
        <x:f>IF(COUNT(F252:H252)=0,"",AVERAGE(F252:H252))</x:f>
        <x:v>42.2295</x:v>
      </x:c>
      <x:c r="J252" s="44" t="n">
        <x:f>IF(I252="","",I252-E252)</x:f>
        <x:v>5.200111693314398</x:v>
      </x:c>
      <x:c r="K252" s="45" t="n">
        <x:f>IF(I252="","",J252/E252)</x:f>
        <x:v>0.14043201713854736</x:v>
      </x:c>
      <x:c r="L252" s="36" t="str">
        <x:v>Leitura real — sequência serpentina</x:v>
      </x:c>
    </x:row>
    <x:row r="253">
      <x:c r="A253" s="40" t="n">
        <x:v>241</x:v>
      </x:c>
      <x:c r="B253" s="41" t="n">
        <x:v>-0.30000000000000004</x:v>
      </x:c>
      <x:c r="C253" s="41" t="n">
        <x:v>1.5</x:v>
      </x:c>
      <x:c r="D253" s="42" t="n">
        <x:v>7.609093083073782</x:v>
      </x:c>
      <x:c r="E253" s="42" t="n">
        <x:f>$B$5-D253</x:f>
        <x:v>36.49090691692622</x:v>
      </x:c>
      <x:c r="F253" s="79" t="n">
        <x:v>42.5197</x:v>
      </x:c>
      <x:c r="G253" s="43"/>
      <x:c r="H253" s="43"/>
      <x:c r="I253" s="44" t="n">
        <x:f>IF(COUNT(F253:H253)=0,"",AVERAGE(F253:H253))</x:f>
        <x:v>42.5197</x:v>
      </x:c>
      <x:c r="J253" s="44" t="n">
        <x:f>IF(I253="","",I253-E253)</x:f>
        <x:v>6.028793083073779</x:v>
      </x:c>
      <x:c r="K253" s="45" t="n">
        <x:f>IF(I253="","",J253/E253)</x:f>
        <x:v>0.16521357215918736</x:v>
      </x:c>
      <x:c r="L253" s="36" t="str">
        <x:v>Leitura real — sequência serpentina</x:v>
      </x:c>
    </x:row>
    <x:row r="254">
      <x:c r="A254" s="40" t="n">
        <x:v>242</x:v>
      </x:c>
      <x:c r="B254" s="41" t="n">
        <x:v>-0.050000000000000044</x:v>
      </x:c>
      <x:c r="C254" s="41" t="n">
        <x:v>1.5</x:v>
      </x:c>
      <x:c r="D254" s="42" t="n">
        <x:v>8.143201514150984</x:v>
      </x:c>
      <x:c r="E254" s="42" t="n">
        <x:f>$B$5-D254</x:f>
        <x:v>35.95679848584902</x:v>
      </x:c>
      <x:c r="F254" s="79" t="n">
        <x:v>38.391</x:v>
      </x:c>
      <x:c r="G254" s="43"/>
      <x:c r="H254" s="43"/>
      <x:c r="I254" s="44" t="n">
        <x:f>IF(COUNT(F254:H254)=0,"",AVERAGE(F254:H254))</x:f>
        <x:v>38.391</x:v>
      </x:c>
      <x:c r="J254" s="44" t="n">
        <x:f>IF(I254="","",I254-E254)</x:f>
        <x:v>2.4342015141509776</x:v>
      </x:c>
      <x:c r="K254" s="45" t="n">
        <x:f>IF(I254="","",J254/E254)</x:f>
        <x:v>0.06769794911271007</x:v>
      </x:c>
      <x:c r="L254" s="36" t="str">
        <x:v>Leitura real — sequência serpentina</x:v>
      </x:c>
    </x:row>
    <x:row r="255">
      <x:c r="A255" s="40" t="n">
        <x:v>243</x:v>
      </x:c>
      <x:c r="B255" s="41" t="n">
        <x:v>0.19999999999999996</x:v>
      </x:c>
      <x:c r="C255" s="41" t="n">
        <x:v>1.5</x:v>
      </x:c>
      <x:c r="D255" s="42" t="n">
        <x:v>8.640544547215532</x:v>
      </x:c>
      <x:c r="E255" s="42" t="n">
        <x:f>$B$5-D255</x:f>
        <x:v>35.45945545278447</x:v>
      </x:c>
      <x:c r="F255" s="79" t="n">
        <x:v>37.1154</x:v>
      </x:c>
      <x:c r="G255" s="43"/>
      <x:c r="H255" s="43"/>
      <x:c r="I255" s="44" t="n">
        <x:f>IF(COUNT(F255:H255)=0,"",AVERAGE(F255:H255))</x:f>
        <x:v>37.1154</x:v>
      </x:c>
      <x:c r="J255" s="44" t="n">
        <x:f>IF(I255="","",I255-E255)</x:f>
        <x:v>1.6559445472155332</x:v>
      </x:c>
      <x:c r="K255" s="45" t="n">
        <x:f>IF(I255="","",J255/E255)</x:f>
        <x:v>0.04669966095278825</x:v>
      </x:c>
      <x:c r="L255" s="36" t="str">
        <x:v>Leitura real — sequência serpentina</x:v>
      </x:c>
    </x:row>
    <x:row r="256">
      <x:c r="A256" s="40" t="n">
        <x:v>244</x:v>
      </x:c>
      <x:c r="B256" s="41" t="n">
        <x:v>0.44999999999999996</x:v>
      </x:c>
      <x:c r="C256" s="41" t="n">
        <x:v>1.5</x:v>
      </x:c>
      <x:c r="D256" s="42" t="n">
        <x:v>9.06681719731726</x:v>
      </x:c>
      <x:c r="E256" s="42" t="n">
        <x:f>$B$5-D256</x:f>
        <x:v>35.033182802682745</x:v>
      </x:c>
      <x:c r="F256" s="79" t="n">
        <x:v>32.7812</x:v>
      </x:c>
      <x:c r="G256" s="43"/>
      <x:c r="H256" s="43"/>
      <x:c r="I256" s="44" t="n">
        <x:f>IF(COUNT(F256:H256)=0,"",AVERAGE(F256:H256))</x:f>
        <x:v>32.7812</x:v>
      </x:c>
      <x:c r="J256" s="44" t="n">
        <x:f>IF(I256="","",I256-E256)</x:f>
        <x:v>-2.251982802682747</x:v>
      </x:c>
      <x:c r="K256" s="45" t="n">
        <x:f>IF(I256="","",J256/E256)</x:f>
        <x:v>-0.06428142185557563</x:v>
      </x:c>
      <x:c r="L256" s="36" t="str">
        <x:v>Leitura real — sequência serpentina</x:v>
      </x:c>
    </x:row>
    <x:row r="257">
      <x:c r="A257" s="40" t="n">
        <x:v>245</x:v>
      </x:c>
      <x:c r="B257" s="41" t="n">
        <x:v>0.7</x:v>
      </x:c>
      <x:c r="C257" s="41" t="n">
        <x:v>1.5</x:v>
      </x:c>
      <x:c r="D257" s="42" t="n">
        <x:v>9.392233642556672</x:v>
      </x:c>
      <x:c r="E257" s="42" t="n">
        <x:f>$B$5-D257</x:f>
        <x:v>34.70776635744333</x:v>
      </x:c>
      <x:c r="F257" s="79" t="n">
        <x:v>32.4557</x:v>
      </x:c>
      <x:c r="G257" s="43"/>
      <x:c r="H257" s="43"/>
      <x:c r="I257" s="44" t="n">
        <x:f>IF(COUNT(F257:H257)=0,"",AVERAGE(F257:H257))</x:f>
        <x:v>32.4557</x:v>
      </x:c>
      <x:c r="J257" s="44" t="n">
        <x:f>IF(I257="","",I257-E257)</x:f>
        <x:v>-2.252066357443333</x:v>
      </x:c>
      <x:c r="K257" s="45" t="n">
        <x:f>IF(I257="","",J257/E257)</x:f>
        <x:v>-0.06488652523040743</x:v>
      </x:c>
      <x:c r="L257" s="36" t="str">
        <x:v>Leitura real — sequência serpentina</x:v>
      </x:c>
    </x:row>
    <x:row r="258">
      <x:c r="A258" s="40" t="n">
        <x:v>246</x:v>
      </x:c>
      <x:c r="B258" s="41" t="n">
        <x:v>0.95</x:v>
      </x:c>
      <x:c r="C258" s="41" t="n">
        <x:v>1.5</x:v>
      </x:c>
      <x:c r="D258" s="42" t="n">
        <x:v>9.5955082237215</x:v>
      </x:c>
      <x:c r="E258" s="42" t="n">
        <x:f>$B$5-D258</x:f>
        <x:v>34.5044917762785</x:v>
      </x:c>
      <x:c r="F258" s="79" t="n">
        <x:v>36.1411</x:v>
      </x:c>
      <x:c r="G258" s="43"/>
      <x:c r="H258" s="43"/>
      <x:c r="I258" s="44" t="n">
        <x:f>IF(COUNT(F258:H258)=0,"",AVERAGE(F258:H258))</x:f>
        <x:v>36.1411</x:v>
      </x:c>
      <x:c r="J258" s="44" t="n">
        <x:f>IF(I258="","",I258-E258)</x:f>
        <x:v>1.6366082237215025</x:v>
      </x:c>
      <x:c r="K258" s="45" t="n">
        <x:f>IF(I258="","",J258/E258)</x:f>
        <x:v>0.047431744085176024</x:v>
      </x:c>
      <x:c r="L258" s="36" t="str">
        <x:v>Leitura real — sequência serpentina</x:v>
      </x:c>
    </x:row>
    <x:row r="259">
      <x:c r="A259" s="40" t="n">
        <x:v>247</x:v>
      </x:c>
      <x:c r="B259" s="41" t="n">
        <x:v>1.2</x:v>
      </x:c>
      <x:c r="C259" s="41" t="n">
        <x:v>1.5</x:v>
      </x:c>
      <x:c r="D259" s="42" t="n">
        <x:v>9.664546396212268</x:v>
      </x:c>
      <x:c r="E259" s="42" t="n">
        <x:f>$B$5-D259</x:f>
        <x:v>34.435453603787735</x:v>
      </x:c>
      <x:c r="F259" s="79" t="n">
        <x:v>34.3859</x:v>
      </x:c>
      <x:c r="G259" s="43"/>
      <x:c r="H259" s="43"/>
      <x:c r="I259" s="44" t="n">
        <x:f>IF(COUNT(F259:H259)=0,"",AVERAGE(F259:H259))</x:f>
        <x:v>34.3859</x:v>
      </x:c>
      <x:c r="J259" s="44" t="n">
        <x:f>IF(I259="","",I259-E259)</x:f>
        <x:v>-0.04955360378773577</x:v>
      </x:c>
      <x:c r="K259" s="45" t="n">
        <x:f>IF(I259="","",J259/E259)</x:f>
        <x:v>-0.0014390286347871748</x:v>
      </x:c>
      <x:c r="L259" s="36" t="str">
        <x:v>Leitura real — sequência serpentina</x:v>
      </x:c>
    </x:row>
    <x:row r="260">
      <x:c r="A260" s="40" t="n">
        <x:v>248</x:v>
      </x:c>
      <x:c r="B260" s="41" t="n">
        <x:v>1.45</x:v>
      </x:c>
      <x:c r="C260" s="41" t="n">
        <x:v>1.5</x:v>
      </x:c>
      <x:c r="D260" s="42" t="n">
        <x:v>9.5955082237215</x:v>
      </x:c>
      <x:c r="E260" s="42" t="n">
        <x:f>$B$5-D260</x:f>
        <x:v>34.5044917762785</x:v>
      </x:c>
      <x:c r="F260" s="79" t="n">
        <x:v>31.7427</x:v>
      </x:c>
      <x:c r="G260" s="43"/>
      <x:c r="H260" s="43"/>
      <x:c r="I260" s="44" t="n">
        <x:f>IF(COUNT(F260:H260)=0,"",AVERAGE(F260:H260))</x:f>
        <x:v>31.7427</x:v>
      </x:c>
      <x:c r="J260" s="44" t="n">
        <x:f>IF(I260="","",I260-E260)</x:f>
        <x:v>-2.7617917762785</x:v>
      </x:c>
      <x:c r="K260" s="45" t="n">
        <x:f>IF(I260="","",J260/E260)</x:f>
        <x:v>-0.08004151442616537</x:v>
      </x:c>
      <x:c r="L260" s="36" t="str">
        <x:v>Leitura real — sequência serpentina</x:v>
      </x:c>
    </x:row>
    <x:row r="261">
      <x:c r="A261" s="40" t="n">
        <x:v>249</x:v>
      </x:c>
      <x:c r="B261" s="41" t="n">
        <x:v>1.7</x:v>
      </x:c>
      <x:c r="C261" s="41" t="n">
        <x:v>1.5</x:v>
      </x:c>
      <x:c r="D261" s="42" t="n">
        <x:v>9.392233642556672</x:v>
      </x:c>
      <x:c r="E261" s="42" t="n">
        <x:f>$B$5-D261</x:f>
        <x:v>34.70776635744333</x:v>
      </x:c>
      <x:c r="F261" s="79" t="n">
        <x:v>34.5068</x:v>
      </x:c>
      <x:c r="G261" s="43"/>
      <x:c r="H261" s="43"/>
      <x:c r="I261" s="44" t="n">
        <x:f>IF(COUNT(F261:H261)=0,"",AVERAGE(F261:H261))</x:f>
        <x:v>34.5068</x:v>
      </x:c>
      <x:c r="J261" s="44" t="n">
        <x:f>IF(I261="","",I261-E261)</x:f>
        <x:v>-0.2009663574433347</x:v>
      </x:c>
      <x:c r="K261" s="45" t="n">
        <x:f>IF(I261="","",J261/E261)</x:f>
        <x:v>-0.0057902417393747374</x:v>
      </x:c>
      <x:c r="L261" s="36" t="str">
        <x:v>Leitura real — sequência serpentina</x:v>
      </x:c>
    </x:row>
    <x:row r="262">
      <x:c r="A262" s="40" t="n">
        <x:v>250</x:v>
      </x:c>
      <x:c r="B262" s="41" t="n">
        <x:v>1.95</x:v>
      </x:c>
      <x:c r="C262" s="41" t="n">
        <x:v>1.5</x:v>
      </x:c>
      <x:c r="D262" s="42" t="n">
        <x:v>9.06681719731726</x:v>
      </x:c>
      <x:c r="E262" s="42" t="n">
        <x:f>$B$5-D262</x:f>
        <x:v>35.033182802682745</x:v>
      </x:c>
      <x:c r="F262" s="79" t="n">
        <x:v>35.8609</x:v>
      </x:c>
      <x:c r="G262" s="43"/>
      <x:c r="H262" s="43"/>
      <x:c r="I262" s="44" t="n">
        <x:f>IF(COUNT(F262:H262)=0,"",AVERAGE(F262:H262))</x:f>
        <x:v>35.8609</x:v>
      </x:c>
      <x:c r="J262" s="44" t="n">
        <x:f>IF(I262="","",I262-E262)</x:f>
        <x:v>0.8277171973172557</x:v>
      </x:c>
      <x:c r="K262" s="45" t="n">
        <x:f>IF(I262="","",J262/E262)</x:f>
        <x:v>0.023626662812203044</x:v>
      </x:c>
      <x:c r="L262" s="36" t="str">
        <x:v>Leitura real — sequência serpentina</x:v>
      </x:c>
    </x:row>
    <x:row r="263">
      <x:c r="A263" s="40" t="n">
        <x:v>251</x:v>
      </x:c>
      <x:c r="B263" s="41" t="n">
        <x:v>2.2</x:v>
      </x:c>
      <x:c r="C263" s="41" t="n">
        <x:v>1.5</x:v>
      </x:c>
      <x:c r="D263" s="42" t="n">
        <x:v>8.64054454721553</x:v>
      </x:c>
      <x:c r="E263" s="42" t="n">
        <x:f>$B$5-D263</x:f>
        <x:v>35.45945545278447</x:v>
      </x:c>
      <x:c r="F263" s="79" t="n">
        <x:v>37.5436</x:v>
      </x:c>
      <x:c r="G263" s="43"/>
      <x:c r="H263" s="43"/>
      <x:c r="I263" s="44" t="n">
        <x:f>IF(COUNT(F263:H263)=0,"",AVERAGE(F263:H263))</x:f>
        <x:v>37.5436</x:v>
      </x:c>
      <x:c r="J263" s="44" t="n">
        <x:f>IF(I263="","",I263-E263)</x:f>
        <x:v>2.08414454721553</x:v>
      </x:c>
      <x:c r="K263" s="45" t="n">
        <x:f>IF(I263="","",J263/E263)</x:f>
        <x:v>0.058775424512388326</x:v>
      </x:c>
      <x:c r="L263" s="36" t="str">
        <x:v>Leitura real — sequência serpentina</x:v>
      </x:c>
    </x:row>
    <x:row r="264">
      <x:c r="A264" s="40" t="n">
        <x:v>252</x:v>
      </x:c>
      <x:c r="B264" s="41" t="n">
        <x:v>2.45</x:v>
      </x:c>
      <x:c r="C264" s="41" t="n">
        <x:v>1.5</x:v>
      </x:c>
      <x:c r="D264" s="42" t="n">
        <x:v>8.143201514150983</x:v>
      </x:c>
      <x:c r="E264" s="42" t="n">
        <x:f>$B$5-D264</x:f>
        <x:v>35.95679848584902</x:v>
      </x:c>
      <x:c r="F264" s="79" t="n">
        <x:v>35.7194</x:v>
      </x:c>
      <x:c r="G264" s="43"/>
      <x:c r="H264" s="43"/>
      <x:c r="I264" s="44" t="n">
        <x:f>IF(COUNT(F264:H264)=0,"",AVERAGE(F264:H264))</x:f>
        <x:v>35.7194</x:v>
      </x:c>
      <x:c r="J264" s="44" t="n">
        <x:f>IF(I264="","",I264-E264)</x:f>
        <x:v>-0.23739848584902035</x:v>
      </x:c>
      <x:c r="K264" s="45" t="n">
        <x:f>IF(I264="","",J264/E264)</x:f>
        <x:v>-0.006602325452930681</x:v>
      </x:c>
      <x:c r="L264" s="36" t="str">
        <x:v>Leitura real — sequência serpentina</x:v>
      </x:c>
    </x:row>
    <x:row r="265">
      <x:c r="A265" s="40" t="n">
        <x:v>253</x:v>
      </x:c>
      <x:c r="B265" s="41" t="n">
        <x:v>2.7</x:v>
      </x:c>
      <x:c r="C265" s="41" t="n">
        <x:v>1.5</x:v>
      </x:c>
      <x:c r="D265" s="42" t="n">
        <x:v>7.609093083073782</x:v>
      </x:c>
      <x:c r="E265" s="42" t="n">
        <x:f>$B$5-D265</x:f>
        <x:v>36.49090691692622</x:v>
      </x:c>
      <x:c r="F265" s="79" t="n">
        <x:v>35.864</x:v>
      </x:c>
      <x:c r="G265" s="43"/>
      <x:c r="H265" s="43"/>
      <x:c r="I265" s="44" t="n">
        <x:f>IF(COUNT(F265:H265)=0,"",AVERAGE(F265:H265))</x:f>
        <x:v>35.864</x:v>
      </x:c>
      <x:c r="J265" s="44" t="n">
        <x:f>IF(I265="","",I265-E265)</x:f>
        <x:v>-0.6269069169262238</x:v>
      </x:c>
      <x:c r="K265" s="45" t="n">
        <x:f>IF(I265="","",J265/E265)</x:f>
        <x:v>-0.017179811900904948</x:v>
      </x:c>
      <x:c r="L265" s="36" t="str">
        <x:v>Leitura real — sequência serpentina</x:v>
      </x:c>
    </x:row>
    <x:row r="266">
      <x:c r="A266" s="40" t="n">
        <x:v>254</x:v>
      </x:c>
      <x:c r="B266" s="41" t="n">
        <x:v>2.95</x:v>
      </x:c>
      <x:c r="C266" s="41" t="n">
        <x:v>1.5</x:v>
      </x:c>
      <x:c r="D266" s="42" t="n">
        <x:v>7.070611693314394</x:v>
      </x:c>
      <x:c r="E266" s="42" t="n">
        <x:f>$B$5-D266</x:f>
        <x:v>37.029388306685604</x:v>
      </x:c>
      <x:c r="F266" s="79" t="n">
        <x:v>37.0075</x:v>
      </x:c>
      <x:c r="G266" s="43"/>
      <x:c r="H266" s="43"/>
      <x:c r="I266" s="44" t="n">
        <x:f>IF(COUNT(F266:H266)=0,"",AVERAGE(F266:H266))</x:f>
        <x:v>37.0075</x:v>
      </x:c>
      <x:c r="J266" s="44" t="n">
        <x:f>IF(I266="","",I266-E266)</x:f>
        <x:v>-0.02188830668560371</x:v>
      </x:c>
      <x:c r="K266" s="45" t="n">
        <x:f>IF(I266="","",J266/E266)</x:f>
        <x:v>-0.000591106353265139</x:v>
      </x:c>
      <x:c r="L266" s="36" t="str">
        <x:v>Leitura real — sequência serpentina</x:v>
      </x:c>
    </x:row>
    <x:row r="267">
      <x:c r="A267" s="40" t="n">
        <x:v>255</x:v>
      </x:c>
      <x:c r="B267" s="41" t="n">
        <x:v>3.2</x:v>
      </x:c>
      <x:c r="C267" s="41" t="n">
        <x:v>1.5</x:v>
      </x:c>
      <x:c r="D267" s="42" t="n">
        <x:v>6.552655338928764</x:v>
      </x:c>
      <x:c r="E267" s="42" t="n">
        <x:f>$B$5-D267</x:f>
        <x:v>37.547344661071236</x:v>
      </x:c>
      <x:c r="F267" s="79" t="n">
        <x:v>37.896</x:v>
      </x:c>
      <x:c r="G267" s="43"/>
      <x:c r="H267" s="43"/>
      <x:c r="I267" s="44" t="n">
        <x:f>IF(COUNT(F267:H267)=0,"",AVERAGE(F267:H267))</x:f>
        <x:v>37.896</x:v>
      </x:c>
      <x:c r="J267" s="44" t="n">
        <x:f>IF(I267="","",I267-E267)</x:f>
        <x:v>0.348655338928765</x:v>
      </x:c>
      <x:c r="K267" s="45" t="n">
        <x:f>IF(I267="","",J267/E267)</x:f>
        <x:v>0.009285752216993598</x:v>
      </x:c>
      <x:c r="L267" s="36" t="str">
        <x:v>Leitura real — sequência serpentina</x:v>
      </x:c>
    </x:row>
    <x:row r="268">
      <x:c r="A268" s="40" t="n">
        <x:v>256</x:v>
      </x:c>
      <x:c r="B268" s="41" t="n">
        <x:v>-0.8</x:v>
      </x:c>
      <x:c r="C268" s="41" t="n">
        <x:v>1.75</x:v>
      </x:c>
      <x:c r="D268" s="42" t="n">
        <x:v>6.097680864275736</x:v>
      </x:c>
      <x:c r="E268" s="42" t="n">
        <x:f>$B$5-D268</x:f>
        <x:v>38.002319135724264</x:v>
      </x:c>
      <x:c r="F268" s="79" t="n">
        <x:v>41.4965</x:v>
      </x:c>
      <x:c r="G268" s="43"/>
      <x:c r="H268" s="43"/>
      <x:c r="I268" s="44" t="n">
        <x:f>IF(COUNT(F268:H268)=0,"",AVERAGE(F268:H268))</x:f>
        <x:v>41.4965</x:v>
      </x:c>
      <x:c r="J268" s="44" t="n">
        <x:f>IF(I268="","",I268-E268)</x:f>
        <x:v>3.4941808642757337</x:v>
      </x:c>
      <x:c r="K268" s="45" t="n">
        <x:f>IF(I268="","",J268/E268)</x:f>
        <x:v>0.09194651652169859</x:v>
      </x:c>
      <x:c r="L268" s="36" t="str">
        <x:v>Leitura real — sequência serpentina</x:v>
      </x:c>
    </x:row>
    <x:row r="269">
      <x:c r="A269" s="40" t="n">
        <x:v>257</x:v>
      </x:c>
      <x:c r="B269" s="41" t="n">
        <x:v>-0.55</x:v>
      </x:c>
      <x:c r="C269" s="41" t="n">
        <x:v>1.75</x:v>
      </x:c>
      <x:c r="D269" s="42" t="n">
        <x:v>6.509397600653111</x:v>
      </x:c>
      <x:c r="E269" s="42" t="n">
        <x:f>$B$5-D269</x:f>
        <x:v>37.59060239934689</x:v>
      </x:c>
      <x:c r="F269" s="79" t="n">
        <x:v>39.0895</x:v>
      </x:c>
      <x:c r="G269" s="43"/>
      <x:c r="H269" s="43"/>
      <x:c r="I269" s="44" t="n">
        <x:f>IF(COUNT(F269:H269)=0,"",AVERAGE(F269:H269))</x:f>
        <x:v>39.0895</x:v>
      </x:c>
      <x:c r="J269" s="44" t="n">
        <x:f>IF(I269="","",I269-E269)</x:f>
        <x:v>1.498897600653109</x:v>
      </x:c>
      <x:c r="K269" s="45" t="n">
        <x:f>IF(I269="","",J269/E269)</x:f>
        <x:v>0.03987426391121498</x:v>
      </x:c>
      <x:c r="L269" s="36" t="str">
        <x:v>Leitura real — sequência serpentina</x:v>
      </x:c>
    </x:row>
    <x:row r="270">
      <x:c r="A270" s="40" t="n">
        <x:v>258</x:v>
      </x:c>
      <x:c r="B270" s="41" t="n">
        <x:v>-0.30000000000000004</x:v>
      </x:c>
      <x:c r="C270" s="41" t="n">
        <x:v>1.75</x:v>
      </x:c>
      <x:c r="D270" s="42" t="n">
        <x:v>6.9269343488945925</x:v>
      </x:c>
      <x:c r="E270" s="42" t="n">
        <x:f>$B$5-D270</x:f>
        <x:v>37.17306565110541</x:v>
      </x:c>
      <x:c r="F270" s="79" t="n">
        <x:v>37.1273</x:v>
      </x:c>
      <x:c r="G270" s="43"/>
      <x:c r="H270" s="43"/>
      <x:c r="I270" s="44" t="n">
        <x:f>IF(COUNT(F270:H270)=0,"",AVERAGE(F270:H270))</x:f>
        <x:v>37.1273</x:v>
      </x:c>
      <x:c r="J270" s="44" t="n">
        <x:f>IF(I270="","",I270-E270)</x:f>
        <x:v>-0.04576565110541253</x:v>
      </x:c>
      <x:c r="K270" s="45" t="n">
        <x:f>IF(I270="","",J270/E270)</x:f>
        <x:v>-0.0012311508427890882</x:v>
      </x:c>
      <x:c r="L270" s="36" t="str">
        <x:v>Leitura real — sequência serpentina</x:v>
      </x:c>
    </x:row>
    <x:row r="271">
      <x:c r="A271" s="40" t="n">
        <x:v>259</x:v>
      </x:c>
      <x:c r="B271" s="41" t="n">
        <x:v>-0.050000000000000044</x:v>
      </x:c>
      <x:c r="C271" s="41" t="n">
        <x:v>1.75</x:v>
      </x:c>
      <x:c r="D271" s="42" t="n">
        <x:v>7.3325988644247495</x:v>
      </x:c>
      <x:c r="E271" s="42" t="n">
        <x:f>$B$5-D271</x:f>
        <x:v>36.767401135575255</x:v>
      </x:c>
      <x:c r="F271" s="79" t="n">
        <x:v>37.0115</x:v>
      </x:c>
      <x:c r="G271" s="43"/>
      <x:c r="H271" s="43"/>
      <x:c r="I271" s="44" t="n">
        <x:f>IF(COUNT(F271:H271)=0,"",AVERAGE(F271:H271))</x:f>
        <x:v>37.0115</x:v>
      </x:c>
      <x:c r="J271" s="44" t="n">
        <x:f>IF(I271="","",I271-E271)</x:f>
        <x:v>0.2440988644247426</x:v>
      </x:c>
      <x:c r="K271" s="45" t="n">
        <x:f>IF(I271="","",J271/E271)</x:f>
        <x:v>0.006639002401193877</x:v>
      </x:c>
      <x:c r="L271" s="36" t="str">
        <x:v>Leitura real — sequência serpentina</x:v>
      </x:c>
    </x:row>
    <x:row r="272">
      <x:c r="A272" s="40" t="n">
        <x:v>260</x:v>
      </x:c>
      <x:c r="B272" s="41" t="n">
        <x:v>0.19999999999999996</x:v>
      </x:c>
      <x:c r="C272" s="41" t="n">
        <x:v>1.75</x:v>
      </x:c>
      <x:c r="D272" s="42" t="n">
        <x:v>7.704967951345019</x:v>
      </x:c>
      <x:c r="E272" s="42" t="n">
        <x:f>$B$5-D272</x:f>
        <x:v>36.39503204865498</x:v>
      </x:c>
      <x:c r="F272" s="79" t="n">
        <x:v>33.3965</x:v>
      </x:c>
      <x:c r="G272" s="43"/>
      <x:c r="H272" s="43"/>
      <x:c r="I272" s="44" t="n">
        <x:f>IF(COUNT(F272:H272)=0,"",AVERAGE(F272:H272))</x:f>
        <x:v>33.3965</x:v>
      </x:c>
      <x:c r="J272" s="44" t="n">
        <x:f>IF(I272="","",I272-E272)</x:f>
        <x:v>-2.9985320486549796</x:v>
      </x:c>
      <x:c r="K272" s="45" t="n">
        <x:f>IF(I272="","",J272/E272)</x:f>
        <x:v>-0.08238849864581431</x:v>
      </x:c>
      <x:c r="L272" s="36" t="str">
        <x:v>Leitura real — sequência serpentina</x:v>
      </x:c>
    </x:row>
    <x:row r="273">
      <x:c r="A273" s="40" t="n">
        <x:v>261</x:v>
      </x:c>
      <x:c r="B273" s="41" t="n">
        <x:v>0.44999999999999996</x:v>
      </x:c>
      <x:c r="C273" s="41" t="n">
        <x:v>1.75</x:v>
      </x:c>
      <x:c r="D273" s="42" t="n">
        <x:v>8.021768498072268</x:v>
      </x:c>
      <x:c r="E273" s="42" t="n">
        <x:f>$B$5-D273</x:f>
        <x:v>36.07823150192773</x:v>
      </x:c>
      <x:c r="F273" s="79" t="n">
        <x:v>31.2679</x:v>
      </x:c>
      <x:c r="G273" s="43"/>
      <x:c r="H273" s="43"/>
      <x:c r="I273" s="44" t="n">
        <x:f>IF(COUNT(F273:H273)=0,"",AVERAGE(F273:H273))</x:f>
        <x:v>31.2679</x:v>
      </x:c>
      <x:c r="J273" s="44" t="n">
        <x:f>IF(I273="","",I273-E273)</x:f>
        <x:v>-4.810331501927731</x:v>
      </x:c>
      <x:c r="K273" s="45" t="n">
        <x:f>IF(I273="","",J273/E273)</x:f>
        <x:v>-0.13333057917960045</x:v>
      </x:c>
      <x:c r="L273" s="36" t="str">
        <x:v>Leitura real — sequência serpentina</x:v>
      </x:c>
    </x:row>
    <x:row r="274">
      <x:c r="A274" s="40" t="n">
        <x:v>262</x:v>
      </x:c>
      <x:c r="B274" s="41" t="n">
        <x:v>0.7</x:v>
      </x:c>
      <x:c r="C274" s="41" t="n">
        <x:v>1.75</x:v>
      </x:c>
      <x:c r="D274" s="42" t="n">
        <x:v>8.263138539883139</x:v>
      </x:c>
      <x:c r="E274" s="42" t="n">
        <x:f>$B$5-D274</x:f>
        <x:v>35.836861460116864</x:v>
      </x:c>
      <x:c r="F274" s="79" t="n">
        <x:v>34.172</x:v>
      </x:c>
      <x:c r="G274" s="43"/>
      <x:c r="H274" s="43"/>
      <x:c r="I274" s="44" t="n">
        <x:f>IF(COUNT(F274:H274)=0,"",AVERAGE(F274:H274))</x:f>
        <x:v>34.172</x:v>
      </x:c>
      <x:c r="J274" s="44" t="n">
        <x:f>IF(I274="","",I274-E274)</x:f>
        <x:v>-1.6648614601168674</x:v>
      </x:c>
      <x:c r="K274" s="45" t="n">
        <x:f>IF(I274="","",J274/E274)</x:f>
        <x:v>-0.04645667595555781</x:v>
      </x:c>
      <x:c r="L274" s="36" t="str">
        <x:v>Leitura real — sequência serpentina</x:v>
      </x:c>
    </x:row>
    <x:row r="275">
      <x:c r="A275" s="40" t="n">
        <x:v>263</x:v>
      </x:c>
      <x:c r="B275" s="41" t="n">
        <x:v>0.95</x:v>
      </x:c>
      <x:c r="C275" s="41" t="n">
        <x:v>1.75</x:v>
      </x:c>
      <x:c r="D275" s="42" t="n">
        <x:v>8.414040396807195</x:v>
      </x:c>
      <x:c r="E275" s="42" t="n">
        <x:f>$B$5-D275</x:f>
        <x:v>35.685959603192806</x:v>
      </x:c>
      <x:c r="F275" s="79" t="n">
        <x:v>35.7217</x:v>
      </x:c>
      <x:c r="G275" s="43"/>
      <x:c r="H275" s="43"/>
      <x:c r="I275" s="44" t="n">
        <x:f>IF(COUNT(F275:H275)=0,"",AVERAGE(F275:H275))</x:f>
        <x:v>35.7217</x:v>
      </x:c>
      <x:c r="J275" s="44" t="n">
        <x:f>IF(I275="","",I275-E275)</x:f>
        <x:v>0.0357403968071921</x:v>
      </x:c>
      <x:c r="K275" s="45" t="n">
        <x:f>IF(I275="","",J275/E275)</x:f>
        <x:v>0.001001525451595098</x:v>
      </x:c>
      <x:c r="L275" s="36" t="str">
        <x:v>Leitura real — sequência serpentina</x:v>
      </x:c>
    </x:row>
    <x:row r="276">
      <x:c r="A276" s="40" t="n">
        <x:v>264</x:v>
      </x:c>
      <x:c r="B276" s="41" t="n">
        <x:v>1.2</x:v>
      </x:c>
      <x:c r="C276" s="41" t="n">
        <x:v>1.75</x:v>
      </x:c>
      <x:c r="D276" s="42" t="n">
        <x:v>8.46535020275013</x:v>
      </x:c>
      <x:c r="E276" s="42" t="n">
        <x:f>$B$5-D276</x:f>
        <x:v>35.63464979724987</x:v>
      </x:c>
      <x:c r="F276" s="79" t="n">
        <x:v>36.9579</x:v>
      </x:c>
      <x:c r="G276" s="43"/>
      <x:c r="H276" s="43"/>
      <x:c r="I276" s="44" t="n">
        <x:f>IF(COUNT(F276:H276)=0,"",AVERAGE(F276:H276))</x:f>
        <x:v>36.9579</x:v>
      </x:c>
      <x:c r="J276" s="44" t="n">
        <x:f>IF(I276="","",I276-E276)</x:f>
        <x:v>1.3232502027501312</x:v>
      </x:c>
      <x:c r="K276" s="45" t="n">
        <x:f>IF(I276="","",J276/E276)</x:f>
        <x:v>0.037133806850327286</x:v>
      </x:c>
      <x:c r="L276" s="36" t="str">
        <x:v>Leitura real — sequência serpentina</x:v>
      </x:c>
    </x:row>
    <x:row r="277">
      <x:c r="A277" s="40" t="n">
        <x:v>265</x:v>
      </x:c>
      <x:c r="B277" s="41" t="n">
        <x:v>1.45</x:v>
      </x:c>
      <x:c r="C277" s="41" t="n">
        <x:v>1.75</x:v>
      </x:c>
      <x:c r="D277" s="42" t="n">
        <x:v>8.414040396807195</x:v>
      </x:c>
      <x:c r="E277" s="42" t="n">
        <x:f>$B$5-D277</x:f>
        <x:v>35.685959603192806</x:v>
      </x:c>
      <x:c r="F277" s="79" t="n">
        <x:v>31.5002</x:v>
      </x:c>
      <x:c r="G277" s="43"/>
      <x:c r="H277" s="43"/>
      <x:c r="I277" s="44" t="n">
        <x:f>IF(COUNT(F277:H277)=0,"",AVERAGE(F277:H277))</x:f>
        <x:v>31.5002</x:v>
      </x:c>
      <x:c r="J277" s="44" t="n">
        <x:f>IF(I277="","",I277-E277)</x:f>
        <x:v>-4.185759603192807</x:v>
      </x:c>
      <x:c r="K277" s="45" t="n">
        <x:f>IF(I277="","",J277/E277)</x:f>
        <x:v>-0.1172942986467515</x:v>
      </x:c>
      <x:c r="L277" s="36" t="str">
        <x:v>Leitura real — sequência serpentina</x:v>
      </x:c>
    </x:row>
    <x:row r="278">
      <x:c r="A278" s="40" t="n">
        <x:v>266</x:v>
      </x:c>
      <x:c r="B278" s="41" t="n">
        <x:v>1.7</x:v>
      </x:c>
      <x:c r="C278" s="41" t="n">
        <x:v>1.75</x:v>
      </x:c>
      <x:c r="D278" s="42" t="n">
        <x:v>8.263138539883139</x:v>
      </x:c>
      <x:c r="E278" s="42" t="n">
        <x:f>$B$5-D278</x:f>
        <x:v>35.836861460116864</x:v>
      </x:c>
      <x:c r="F278" s="79" t="n">
        <x:v>31.7792</x:v>
      </x:c>
      <x:c r="G278" s="43"/>
      <x:c r="H278" s="43"/>
      <x:c r="I278" s="44" t="n">
        <x:f>IF(COUNT(F278:H278)=0,"",AVERAGE(F278:H278))</x:f>
        <x:v>31.7792</x:v>
      </x:c>
      <x:c r="J278" s="44" t="n">
        <x:f>IF(I278="","",I278-E278)</x:f>
        <x:v>-4.057661460116865</x:v>
      </x:c>
      <x:c r="K278" s="45" t="n">
        <x:f>IF(I278="","",J278/E278)</x:f>
        <x:v>-0.11322591585294571</x:v>
      </x:c>
      <x:c r="L278" s="36" t="str">
        <x:v>Leitura real — sequência serpentina</x:v>
      </x:c>
    </x:row>
    <x:row r="279">
      <x:c r="A279" s="40" t="n">
        <x:v>267</x:v>
      </x:c>
      <x:c r="B279" s="41" t="n">
        <x:v>1.95</x:v>
      </x:c>
      <x:c r="C279" s="41" t="n">
        <x:v>1.75</x:v>
      </x:c>
      <x:c r="D279" s="42" t="n">
        <x:v>8.021768498072268</x:v>
      </x:c>
      <x:c r="E279" s="42" t="n">
        <x:f>$B$5-D279</x:f>
        <x:v>36.07823150192773</x:v>
      </x:c>
      <x:c r="F279" s="79" t="n">
        <x:v>36.1661</x:v>
      </x:c>
      <x:c r="G279" s="43"/>
      <x:c r="H279" s="43"/>
      <x:c r="I279" s="44" t="n">
        <x:f>IF(COUNT(F279:H279)=0,"",AVERAGE(F279:H279))</x:f>
        <x:v>36.1661</x:v>
      </x:c>
      <x:c r="J279" s="44" t="n">
        <x:f>IF(I279="","",I279-E279)</x:f>
        <x:v>0.08786849807226815</x:v>
      </x:c>
      <x:c r="K279" s="45" t="n">
        <x:f>IF(I279="","",J279/E279)</x:f>
        <x:v>0.002435499036796556</x:v>
      </x:c>
      <x:c r="L279" s="36" t="str">
        <x:v>Leitura real — sequência serpentina</x:v>
      </x:c>
    </x:row>
    <x:row r="280">
      <x:c r="A280" s="40" t="n">
        <x:v>268</x:v>
      </x:c>
      <x:c r="B280" s="41" t="n">
        <x:v>2.2</x:v>
      </x:c>
      <x:c r="C280" s="41" t="n">
        <x:v>1.75</x:v>
      </x:c>
      <x:c r="D280" s="42" t="n">
        <x:v>7.704967951345017</x:v>
      </x:c>
      <x:c r="E280" s="42" t="n">
        <x:f>$B$5-D280</x:f>
        <x:v>36.39503204865498</x:v>
      </x:c>
      <x:c r="F280" s="79" t="n">
        <x:v>33.0056</x:v>
      </x:c>
      <x:c r="G280" s="43"/>
      <x:c r="H280" s="43"/>
      <x:c r="I280" s="44" t="n">
        <x:f>IF(COUNT(F280:H280)=0,"",AVERAGE(F280:H280))</x:f>
        <x:v>33.0056</x:v>
      </x:c>
      <x:c r="J280" s="44" t="n">
        <x:f>IF(I280="","",I280-E280)</x:f>
        <x:v>-3.3894320486549816</x:v>
      </x:c>
      <x:c r="K280" s="45" t="n">
        <x:f>IF(I280="","",J280/E280)</x:f>
        <x:v>-0.09312897551852112</x:v>
      </x:c>
      <x:c r="L280" s="36" t="str">
        <x:v>Leitura real — sequência serpentina</x:v>
      </x:c>
    </x:row>
    <x:row r="281">
      <x:c r="A281" s="40" t="n">
        <x:v>269</x:v>
      </x:c>
      <x:c r="B281" s="41" t="n">
        <x:v>2.45</x:v>
      </x:c>
      <x:c r="C281" s="41" t="n">
        <x:v>1.75</x:v>
      </x:c>
      <x:c r="D281" s="42" t="n">
        <x:v>7.3325988644247495</x:v>
      </x:c>
      <x:c r="E281" s="42" t="n">
        <x:f>$B$5-D281</x:f>
        <x:v>36.767401135575255</x:v>
      </x:c>
      <x:c r="F281" s="79" t="n">
        <x:v>38.5177</x:v>
      </x:c>
      <x:c r="G281" s="43"/>
      <x:c r="H281" s="43"/>
      <x:c r="I281" s="44" t="n">
        <x:f>IF(COUNT(F281:H281)=0,"",AVERAGE(F281:H281))</x:f>
        <x:v>38.5177</x:v>
      </x:c>
      <x:c r="J281" s="44" t="n">
        <x:f>IF(I281="","",I281-E281)</x:f>
        <x:v>1.7502988644247424</x:v>
      </x:c>
      <x:c r="K281" s="45" t="n">
        <x:f>IF(I281="","",J281/E281)</x:f>
        <x:v>0.047604639173999035</x:v>
      </x:c>
      <x:c r="L281" s="36" t="str">
        <x:v>Leitura real — sequência serpentina</x:v>
      </x:c>
    </x:row>
    <x:row r="282">
      <x:c r="A282" s="40" t="n">
        <x:v>270</x:v>
      </x:c>
      <x:c r="B282" s="41" t="n">
        <x:v>2.7</x:v>
      </x:c>
      <x:c r="C282" s="41" t="n">
        <x:v>1.75</x:v>
      </x:c>
      <x:c r="D282" s="42" t="n">
        <x:v>6.9269343488945925</x:v>
      </x:c>
      <x:c r="E282" s="42" t="n">
        <x:f>$B$5-D282</x:f>
        <x:v>37.17306565110541</x:v>
      </x:c>
      <x:c r="F282" s="79" t="n">
        <x:v>42.1303</x:v>
      </x:c>
      <x:c r="G282" s="43"/>
      <x:c r="H282" s="43"/>
      <x:c r="I282" s="44" t="n">
        <x:f>IF(COUNT(F282:H282)=0,"",AVERAGE(F282:H282))</x:f>
        <x:v>42.1303</x:v>
      </x:c>
      <x:c r="J282" s="44" t="n">
        <x:f>IF(I282="","",I282-E282)</x:f>
        <x:v>4.957234348894588</x:v>
      </x:c>
      <x:c r="K282" s="45" t="n">
        <x:f>IF(I282="","",J282/E282)</x:f>
        <x:v>0.13335554283904413</x:v>
      </x:c>
      <x:c r="L282" s="36" t="str">
        <x:v>Leitura real — sequência serpentina</x:v>
      </x:c>
    </x:row>
    <x:row r="283">
      <x:c r="A283" s="40" t="n">
        <x:v>271</x:v>
      </x:c>
      <x:c r="B283" s="41" t="n">
        <x:v>2.95</x:v>
      </x:c>
      <x:c r="C283" s="41" t="n">
        <x:v>1.75</x:v>
      </x:c>
      <x:c r="D283" s="42" t="n">
        <x:v>6.509397600653109</x:v>
      </x:c>
      <x:c r="E283" s="42" t="n">
        <x:f>$B$5-D283</x:f>
        <x:v>37.59060239934689</x:v>
      </x:c>
      <x:c r="F283" s="79" t="n">
        <x:v>39.4496</x:v>
      </x:c>
      <x:c r="G283" s="43"/>
      <x:c r="H283" s="43"/>
      <x:c r="I283" s="44" t="n">
        <x:f>IF(COUNT(F283:H283)=0,"",AVERAGE(F283:H283))</x:f>
        <x:v>39.4496</x:v>
      </x:c>
      <x:c r="J283" s="44" t="n">
        <x:f>IF(I283="","",I283-E283)</x:f>
        <x:v>1.8589976006531046</x:v>
      </x:c>
      <x:c r="K283" s="45" t="n">
        <x:f>IF(I283="","",J283/E283)</x:f>
        <x:v>0.04945378583997907</x:v>
      </x:c>
      <x:c r="L283" s="36" t="str">
        <x:v>Leitura real — sequência serpentina</x:v>
      </x:c>
    </x:row>
    <x:row r="284">
      <x:c r="A284" s="40" t="n">
        <x:v>272</x:v>
      </x:c>
      <x:c r="B284" s="41" t="n">
        <x:v>3.2</x:v>
      </x:c>
      <x:c r="C284" s="41" t="n">
        <x:v>1.75</x:v>
      </x:c>
      <x:c r="D284" s="42" t="n">
        <x:v>6.097680864275734</x:v>
      </x:c>
      <x:c r="E284" s="42" t="n">
        <x:f>$B$5-D284</x:f>
        <x:v>38.002319135724264</x:v>
      </x:c>
      <x:c r="F284" s="79" t="n">
        <x:v>35.1861</x:v>
      </x:c>
      <x:c r="G284" s="43"/>
      <x:c r="H284" s="43"/>
      <x:c r="I284" s="44" t="n">
        <x:f>IF(COUNT(F284:H284)=0,"",AVERAGE(F284:H284))</x:f>
        <x:v>35.1861</x:v>
      </x:c>
      <x:c r="J284" s="44" t="n">
        <x:f>IF(I284="","",I284-E284)</x:f>
        <x:v>-2.8162191357242605</x:v>
      </x:c>
      <x:c r="K284" s="45" t="n">
        <x:f>IF(I284="","",J284/E284)</x:f>
        <x:v>-0.07410650717568602</x:v>
      </x:c>
      <x:c r="L284" s="36" t="str">
        <x:v>Leitura real — sequência serpentina</x:v>
      </x:c>
    </x:row>
    <x:row r="285">
      <x:c r="A285" s="40" t="n">
        <x:v>273</x:v>
      </x:c>
      <x:c r="B285" s="41" t="n">
        <x:v>-0.8</x:v>
      </x:c>
      <x:c r="C285" s="41" t="n">
        <x:v>2</x:v>
      </x:c>
      <x:c r="D285" s="42" t="n">
        <x:v>5.684695764737086</x:v>
      </x:c>
      <x:c r="E285" s="42" t="n">
        <x:f>$B$5-D285</x:f>
        <x:v>38.415304235262916</x:v>
      </x:c>
      <x:c r="F285" s="79" t="n">
        <x:v>37.5183</x:v>
      </x:c>
      <x:c r="G285" s="43"/>
      <x:c r="H285" s="43"/>
      <x:c r="I285" s="44" t="n">
        <x:f>IF(COUNT(F285:H285)=0,"",AVERAGE(F285:H285))</x:f>
        <x:v>37.5183</x:v>
      </x:c>
      <x:c r="J285" s="44" t="n">
        <x:f>IF(I285="","",I285-E285)</x:f>
        <x:v>-0.8970042352629122</x:v>
      </x:c>
      <x:c r="K285" s="45" t="n">
        <x:f>IF(I285="","",J285/E285)</x:f>
        <x:v>-0.02335017913093909</x:v>
      </x:c>
      <x:c r="L285" s="36" t="str">
        <x:v>Leitura real — sequência serpentina</x:v>
      </x:c>
    </x:row>
    <x:row r="286">
      <x:c r="A286" s="40" t="n">
        <x:v>274</x:v>
      </x:c>
      <x:c r="B286" s="41" t="n">
        <x:v>-0.55</x:v>
      </x:c>
      <x:c r="C286" s="41" t="n">
        <x:v>2</x:v>
      </x:c>
      <x:c r="D286" s="42" t="n">
        <x:v>6.015683158796765</x:v>
      </x:c>
      <x:c r="E286" s="42" t="n">
        <x:f>$B$5-D286</x:f>
        <x:v>38.08431684120323</x:v>
      </x:c>
      <x:c r="F286" s="79" t="n">
        <x:v>39.1213</x:v>
      </x:c>
      <x:c r="G286" s="43"/>
      <x:c r="H286" s="43"/>
      <x:c r="I286" s="44" t="n">
        <x:f>IF(COUNT(F286:H286)=0,"",AVERAGE(F286:H286))</x:f>
        <x:v>39.1213</x:v>
      </x:c>
      <x:c r="J286" s="44" t="n">
        <x:f>IF(I286="","",I286-E286)</x:f>
        <x:v>1.0369831587967653</x:v>
      </x:c>
      <x:c r="K286" s="45" t="n">
        <x:f>IF(I286="","",J286/E286)</x:f>
        <x:v>0.027228613896911454</x:v>
      </x:c>
      <x:c r="L286" s="36" t="str">
        <x:v>Leitura real — sequência serpentina</x:v>
      </x:c>
    </x:row>
    <x:row r="287">
      <x:c r="A287" s="40" t="n">
        <x:v>275</x:v>
      </x:c>
      <x:c r="B287" s="41" t="n">
        <x:v>-0.30000000000000004</x:v>
      </x:c>
      <x:c r="C287" s="41" t="n">
        <x:v>2</x:v>
      </x:c>
      <x:c r="D287" s="42" t="n">
        <x:v>6.34478984849243</x:v>
      </x:c>
      <x:c r="E287" s="42" t="n">
        <x:f>$B$5-D287</x:f>
        <x:v>37.75521015150757</x:v>
      </x:c>
      <x:c r="F287" s="79" t="n">
        <x:v>37.3774</x:v>
      </x:c>
      <x:c r="G287" s="43"/>
      <x:c r="H287" s="43"/>
      <x:c r="I287" s="44" t="n">
        <x:f>IF(COUNT(F287:H287)=0,"",AVERAGE(F287:H287))</x:f>
        <x:v>37.3774</x:v>
      </x:c>
      <x:c r="J287" s="44" t="n">
        <x:f>IF(I287="","",I287-E287)</x:f>
        <x:v>-0.3778101515075676</x:v>
      </x:c>
      <x:c r="K287" s="45" t="n">
        <x:f>IF(I287="","",J287/E287)</x:f>
        <x:v>-0.010006834818067661</x:v>
      </x:c>
      <x:c r="L287" s="36" t="str">
        <x:v>Leitura real — sequência serpentina</x:v>
      </x:c>
    </x:row>
    <x:row r="288">
      <x:c r="A288" s="40" t="n">
        <x:v>276</x:v>
      </x:c>
      <x:c r="B288" s="41" t="n">
        <x:v>-0.050000000000000044</x:v>
      </x:c>
      <x:c r="C288" s="41" t="n">
        <x:v>2</x:v>
      </x:c>
      <x:c r="D288" s="42" t="n">
        <x:v>6.659214504861656</x:v>
      </x:c>
      <x:c r="E288" s="42" t="n">
        <x:f>$B$5-D288</x:f>
        <x:v>37.44078549513834</x:v>
      </x:c>
      <x:c r="F288" s="79" t="n">
        <x:v>36.25</x:v>
      </x:c>
      <x:c r="G288" s="43"/>
      <x:c r="H288" s="43"/>
      <x:c r="I288" s="44" t="n">
        <x:f>IF(COUNT(F288:H288)=0,"",AVERAGE(F288:H288))</x:f>
        <x:v>36.25</x:v>
      </x:c>
      <x:c r="J288" s="44" t="n">
        <x:f>IF(I288="","",I288-E288)</x:f>
        <x:v>-1.1907854951383428</x:v>
      </x:c>
      <x:c r="K288" s="45" t="n">
        <x:f>IF(I288="","",J288/E288)</x:f>
        <x:v>-0.03180450087760486</x:v>
      </x:c>
      <x:c r="L288" s="36" t="str">
        <x:v>Leitura real — sequência serpentina</x:v>
      </x:c>
    </x:row>
    <x:row r="289">
      <x:c r="A289" s="40" t="n">
        <x:v>277</x:v>
      </x:c>
      <x:c r="B289" s="41" t="n">
        <x:v>0.19999999999999996</x:v>
      </x:c>
      <x:c r="C289" s="41" t="n">
        <x:v>2</x:v>
      </x:c>
      <x:c r="D289" s="42" t="n">
        <x:v>6.944210204040935</x:v>
      </x:c>
      <x:c r="E289" s="42" t="n">
        <x:f>$B$5-D289</x:f>
        <x:v>37.155789795959066</x:v>
      </x:c>
      <x:c r="F289" s="79" t="n">
        <x:v>36.5739</x:v>
      </x:c>
      <x:c r="G289" s="43"/>
      <x:c r="H289" s="43"/>
      <x:c r="I289" s="44" t="n">
        <x:f>IF(COUNT(F289:H289)=0,"",AVERAGE(F289:H289))</x:f>
        <x:v>36.5739</x:v>
      </x:c>
      <x:c r="J289" s="44" t="n">
        <x:f>IF(I289="","",I289-E289)</x:f>
        <x:v>-0.5818897959590643</x:v>
      </x:c>
      <x:c r="K289" s="45" t="n">
        <x:f>IF(I289="","",J289/E289)</x:f>
        <x:v>-0.01566081084952065</x:v>
      </x:c>
      <x:c r="L289" s="36" t="str">
        <x:v>Leitura real — sequência serpentina</x:v>
      </x:c>
    </x:row>
    <x:row r="290">
      <x:c r="A290" s="40" t="n">
        <x:v>278</x:v>
      </x:c>
      <x:c r="B290" s="41" t="n">
        <x:v>0.44999999999999996</x:v>
      </x:c>
      <x:c r="C290" s="41" t="n">
        <x:v>2</x:v>
      </x:c>
      <x:c r="D290" s="42" t="n">
        <x:v>7.184713309320289</x:v>
      </x:c>
      <x:c r="E290" s="42" t="n">
        <x:f>$B$5-D290</x:f>
        <x:v>36.915286690679714</x:v>
      </x:c>
      <x:c r="F290" s="79" t="n">
        <x:v>39.1205</x:v>
      </x:c>
      <x:c r="G290" s="43"/>
      <x:c r="H290" s="43"/>
      <x:c r="I290" s="44" t="n">
        <x:f>IF(COUNT(F290:H290)=0,"",AVERAGE(F290:H290))</x:f>
        <x:v>39.1205</x:v>
      </x:c>
      <x:c r="J290" s="44" t="n">
        <x:f>IF(I290="","",I290-E290)</x:f>
        <x:v>2.2052133093202855</x:v>
      </x:c>
      <x:c r="K290" s="45" t="n">
        <x:f>IF(I290="","",J290/E290)</x:f>
        <x:v>0.059737130793489204</x:v>
      </x:c>
      <x:c r="L290" s="36" t="str">
        <x:v>Leitura real — sequência serpentina</x:v>
      </x:c>
    </x:row>
    <x:row r="291">
      <x:c r="A291" s="40" t="n">
        <x:v>279</x:v>
      </x:c>
      <x:c r="B291" s="41" t="n">
        <x:v>0.7</x:v>
      </x:c>
      <x:c r="C291" s="41" t="n">
        <x:v>2</x:v>
      </x:c>
      <x:c r="D291" s="42" t="n">
        <x:v>7.367169654191191</x:v>
      </x:c>
      <x:c r="E291" s="42" t="n">
        <x:f>$B$5-D291</x:f>
        <x:v>36.73283034580881</x:v>
      </x:c>
      <x:c r="F291" s="79" t="n">
        <x:v>34.4117</x:v>
      </x:c>
      <x:c r="G291" s="43"/>
      <x:c r="H291" s="43"/>
      <x:c r="I291" s="44" t="n">
        <x:f>IF(COUNT(F291:H291)=0,"",AVERAGE(F291:H291))</x:f>
        <x:v>34.4117</x:v>
      </x:c>
      <x:c r="J291" s="44" t="n">
        <x:f>IF(I291="","",I291-E291)</x:f>
        <x:v>-2.321130345808804</x:v>
      </x:c>
      <x:c r="K291" s="45" t="n">
        <x:f>IF(I291="","",J291/E291)</x:f>
        <x:v>-0.06318953165212991</x:v>
      </x:c>
      <x:c r="L291" s="36" t="str">
        <x:v>Leitura real — sequência serpentina</x:v>
      </x:c>
    </x:row>
    <x:row r="292">
      <x:c r="A292" s="40" t="n">
        <x:v>280</x:v>
      </x:c>
      <x:c r="B292" s="41" t="n">
        <x:v>0.95</x:v>
      </x:c>
      <x:c r="C292" s="41" t="n">
        <x:v>2</x:v>
      </x:c>
      <x:c r="D292" s="42" t="n">
        <x:v>7.481043422764056</x:v>
      </x:c>
      <x:c r="E292" s="42" t="n">
        <x:f>$B$5-D292</x:f>
        <x:v>36.61895657723595</x:v>
      </x:c>
      <x:c r="F292" s="79" t="n">
        <x:v>39.2599</x:v>
      </x:c>
      <x:c r="G292" s="43"/>
      <x:c r="H292" s="43"/>
      <x:c r="I292" s="44" t="n">
        <x:f>IF(COUNT(F292:H292)=0,"",AVERAGE(F292:H292))</x:f>
        <x:v>39.2599</x:v>
      </x:c>
      <x:c r="J292" s="44" t="n">
        <x:f>IF(I292="","",I292-E292)</x:f>
        <x:v>2.640943422764053</x:v>
      </x:c>
      <x:c r="K292" s="45" t="n">
        <x:f>IF(I292="","",J292/E292)</x:f>
        <x:v>0.07211957056159778</x:v>
      </x:c>
      <x:c r="L292" s="36" t="str">
        <x:v>Leitura real — sequência serpentina</x:v>
      </x:c>
    </x:row>
    <x:row r="293">
      <x:c r="A293" s="40" t="n">
        <x:v>281</x:v>
      </x:c>
      <x:c r="B293" s="41" t="n">
        <x:v>1.2</x:v>
      </x:c>
      <x:c r="C293" s="41" t="n">
        <x:v>2</x:v>
      </x:c>
      <x:c r="D293" s="42" t="n">
        <x:v>7.519744993041772</x:v>
      </x:c>
      <x:c r="E293" s="42" t="n">
        <x:f>$B$5-D293</x:f>
        <x:v>36.58025500695823</x:v>
      </x:c>
      <x:c r="F293" s="79" t="n">
        <x:v>40.0054</x:v>
      </x:c>
      <x:c r="G293" s="43"/>
      <x:c r="H293" s="43"/>
      <x:c r="I293" s="44" t="n">
        <x:f>IF(COUNT(F293:H293)=0,"",AVERAGE(F293:H293))</x:f>
        <x:v>40.0054</x:v>
      </x:c>
      <x:c r="J293" s="44" t="n">
        <x:f>IF(I293="","",I293-E293)</x:f>
        <x:v>3.4251449930417692</x:v>
      </x:c>
      <x:c r="K293" s="45" t="n">
        <x:f>IF(I293="","",J293/E293)</x:f>
        <x:v>0.09363371010918989</x:v>
      </x:c>
      <x:c r="L293" s="36" t="str">
        <x:v>Leitura real — sequência serpentina</x:v>
      </x:c>
    </x:row>
    <x:row r="294">
      <x:c r="A294" s="40" t="n">
        <x:v>282</x:v>
      </x:c>
      <x:c r="B294" s="41" t="n">
        <x:v>1.45</x:v>
      </x:c>
      <x:c r="C294" s="41" t="n">
        <x:v>2</x:v>
      </x:c>
      <x:c r="D294" s="42" t="n">
        <x:v>7.481043422764056</x:v>
      </x:c>
      <x:c r="E294" s="42" t="n">
        <x:f>$B$5-D294</x:f>
        <x:v>36.61895657723595</x:v>
      </x:c>
      <x:c r="F294" s="79" t="n">
        <x:v>36.7944</x:v>
      </x:c>
      <x:c r="G294" s="43"/>
      <x:c r="H294" s="43"/>
      <x:c r="I294" s="44" t="n">
        <x:f>IF(COUNT(F294:H294)=0,"",AVERAGE(F294:H294))</x:f>
        <x:v>36.7944</x:v>
      </x:c>
      <x:c r="J294" s="44" t="n">
        <x:f>IF(I294="","",I294-E294)</x:f>
        <x:v>0.17544342276405445</x:v>
      </x:c>
      <x:c r="K294" s="45" t="n">
        <x:f>IF(I294="","",J294/E294)</x:f>
        <x:v>0.004791054665744306</x:v>
      </x:c>
      <x:c r="L294" s="36" t="str">
        <x:v>Leitura real — sequência serpentina</x:v>
      </x:c>
    </x:row>
    <x:row r="295">
      <x:c r="A295" s="40" t="n">
        <x:v>283</x:v>
      </x:c>
      <x:c r="B295" s="41" t="n">
        <x:v>1.7</x:v>
      </x:c>
      <x:c r="C295" s="41" t="n">
        <x:v>2</x:v>
      </x:c>
      <x:c r="D295" s="42" t="n">
        <x:v>7.367169654191191</x:v>
      </x:c>
      <x:c r="E295" s="42" t="n">
        <x:f>$B$5-D295</x:f>
        <x:v>36.73283034580881</x:v>
      </x:c>
      <x:c r="F295" s="79" t="n">
        <x:v>37.4338</x:v>
      </x:c>
      <x:c r="G295" s="43"/>
      <x:c r="H295" s="43"/>
      <x:c r="I295" s="44" t="n">
        <x:f>IF(COUNT(F295:H295)=0,"",AVERAGE(F295:H295))</x:f>
        <x:v>37.4338</x:v>
      </x:c>
      <x:c r="J295" s="44" t="n">
        <x:f>IF(I295="","",I295-E295)</x:f>
        <x:v>0.7009696541911907</x:v>
      </x:c>
      <x:c r="K295" s="45" t="n">
        <x:f>IF(I295="","",J295/E295)</x:f>
        <x:v>0.019082919763931856</x:v>
      </x:c>
      <x:c r="L295" s="36" t="str">
        <x:v>Leitura real — sequência serpentina</x:v>
      </x:c>
    </x:row>
    <x:row r="296">
      <x:c r="A296" s="40" t="n">
        <x:v>284</x:v>
      </x:c>
      <x:c r="B296" s="41" t="n">
        <x:v>1.95</x:v>
      </x:c>
      <x:c r="C296" s="41" t="n">
        <x:v>2</x:v>
      </x:c>
      <x:c r="D296" s="42" t="n">
        <x:v>7.184713309320289</x:v>
      </x:c>
      <x:c r="E296" s="42" t="n">
        <x:f>$B$5-D296</x:f>
        <x:v>36.915286690679714</x:v>
      </x:c>
      <x:c r="F296" s="79" t="n">
        <x:v>33.8255</x:v>
      </x:c>
      <x:c r="G296" s="43"/>
      <x:c r="H296" s="43"/>
      <x:c r="I296" s="44" t="n">
        <x:f>IF(COUNT(F296:H296)=0,"",AVERAGE(F296:H296))</x:f>
        <x:v>33.8255</x:v>
      </x:c>
      <x:c r="J296" s="44" t="n">
        <x:f>IF(I296="","",I296-E296)</x:f>
        <x:v>-3.0897866906797162</x:v>
      </x:c>
      <x:c r="K296" s="45" t="n">
        <x:f>IF(I296="","",J296/E296)</x:f>
        <x:v>-0.08369938222529959</x:v>
      </x:c>
      <x:c r="L296" s="36" t="str">
        <x:v>Leitura real — sequência serpentina</x:v>
      </x:c>
    </x:row>
    <x:row r="297">
      <x:c r="A297" s="40" t="n">
        <x:v>285</x:v>
      </x:c>
      <x:c r="B297" s="41" t="n">
        <x:v>2.2</x:v>
      </x:c>
      <x:c r="C297" s="41" t="n">
        <x:v>2</x:v>
      </x:c>
      <x:c r="D297" s="42" t="n">
        <x:v>6.944210204040934</x:v>
      </x:c>
      <x:c r="E297" s="42" t="n">
        <x:f>$B$5-D297</x:f>
        <x:v>37.155789795959066</x:v>
      </x:c>
      <x:c r="F297" s="79" t="n">
        <x:v>42.7751</x:v>
      </x:c>
      <x:c r="G297" s="43"/>
      <x:c r="H297" s="43"/>
      <x:c r="I297" s="44" t="n">
        <x:f>IF(COUNT(F297:H297)=0,"",AVERAGE(F297:H297))</x:f>
        <x:v>42.7751</x:v>
      </x:c>
      <x:c r="J297" s="44" t="n">
        <x:f>IF(I297="","",I297-E297)</x:f>
        <x:v>5.619310204040936</x:v>
      </x:c>
      <x:c r="K297" s="45" t="n">
        <x:f>IF(I297="","",J297/E297)</x:f>
        <x:v>0.15123646233600105</x:v>
      </x:c>
      <x:c r="L297" s="36" t="str">
        <x:v>Leitura real — sequência serpentina</x:v>
      </x:c>
    </x:row>
    <x:row r="298">
      <x:c r="A298" s="40" t="n">
        <x:v>286</x:v>
      </x:c>
      <x:c r="B298" s="41" t="n">
        <x:v>2.45</x:v>
      </x:c>
      <x:c r="C298" s="41" t="n">
        <x:v>2</x:v>
      </x:c>
      <x:c r="D298" s="42" t="n">
        <x:v>6.659214504861654</x:v>
      </x:c>
      <x:c r="E298" s="42" t="n">
        <x:f>$B$5-D298</x:f>
        <x:v>37.44078549513835</x:v>
      </x:c>
      <x:c r="F298" s="79" t="n">
        <x:v>39.9187</x:v>
      </x:c>
      <x:c r="G298" s="43"/>
      <x:c r="H298" s="43"/>
      <x:c r="I298" s="44" t="n">
        <x:f>IF(COUNT(F298:H298)=0,"",AVERAGE(F298:H298))</x:f>
        <x:v>39.9187</x:v>
      </x:c>
      <x:c r="J298" s="44" t="n">
        <x:f>IF(I298="","",I298-E298)</x:f>
        <x:v>2.4779145048616513</x:v>
      </x:c>
      <x:c r="K298" s="45" t="n">
        <x:f>IF(I298="","",J298/E298)</x:f>
        <x:v>0.06618222540185238</x:v>
      </x:c>
      <x:c r="L298" s="36" t="str">
        <x:v>Leitura real — sequência serpentina</x:v>
      </x:c>
    </x:row>
    <x:row r="299">
      <x:c r="A299" s="40" t="n">
        <x:v>287</x:v>
      </x:c>
      <x:c r="B299" s="41" t="n">
        <x:v>2.7</x:v>
      </x:c>
      <x:c r="C299" s="41" t="n">
        <x:v>2</x:v>
      </x:c>
      <x:c r="D299" s="42" t="n">
        <x:v>6.34478984849243</x:v>
      </x:c>
      <x:c r="E299" s="42" t="n">
        <x:f>$B$5-D299</x:f>
        <x:v>37.75521015150757</x:v>
      </x:c>
      <x:c r="F299" s="79" t="n">
        <x:v>38.3911</x:v>
      </x:c>
      <x:c r="G299" s="43"/>
      <x:c r="H299" s="43"/>
      <x:c r="I299" s="44" t="n">
        <x:f>IF(COUNT(F299:H299)=0,"",AVERAGE(F299:H299))</x:f>
        <x:v>38.3911</x:v>
      </x:c>
      <x:c r="J299" s="44" t="n">
        <x:f>IF(I299="","",I299-E299)</x:f>
        <x:v>0.6358898484924325</x:v>
      </x:c>
      <x:c r="K299" s="45" t="n">
        <x:f>IF(I299="","",J299/E299)</x:f>
        <x:v>0.01684243965112829</x:v>
      </x:c>
      <x:c r="L299" s="36" t="str">
        <x:v>Leitura real — sequência serpentina</x:v>
      </x:c>
    </x:row>
    <x:row r="300">
      <x:c r="A300" s="40" t="n">
        <x:v>288</x:v>
      </x:c>
      <x:c r="B300" s="41" t="n">
        <x:v>2.95</x:v>
      </x:c>
      <x:c r="C300" s="41" t="n">
        <x:v>2</x:v>
      </x:c>
      <x:c r="D300" s="42" t="n">
        <x:v>6.015683158796764</x:v>
      </x:c>
      <x:c r="E300" s="42" t="n">
        <x:f>$B$5-D300</x:f>
        <x:v>38.08431684120324</x:v>
      </x:c>
      <x:c r="F300" s="79" t="n">
        <x:v>38.4826</x:v>
      </x:c>
      <x:c r="G300" s="43"/>
      <x:c r="H300" s="43"/>
      <x:c r="I300" s="44" t="n">
        <x:f>IF(COUNT(F300:H300)=0,"",AVERAGE(F300:H300))</x:f>
        <x:v>38.4826</x:v>
      </x:c>
      <x:c r="J300" s="44" t="n">
        <x:f>IF(I300="","",I300-E300)</x:f>
        <x:v>0.39828315879675813</x:v>
      </x:c>
      <x:c r="K300" s="45" t="n">
        <x:f>IF(I300="","",J300/E300)</x:f>
        <x:v>0.010457931028602763</x:v>
      </x:c>
      <x:c r="L300" s="36" t="str">
        <x:v>Leitura real — sequência serpentina</x:v>
      </x:c>
    </x:row>
    <x:row r="301">
      <x:c r="A301" s="40" t="n">
        <x:v>289</x:v>
      </x:c>
      <x:c r="B301" s="41" t="n">
        <x:v>3.2</x:v>
      </x:c>
      <x:c r="C301" s="41" t="n">
        <x:v>2</x:v>
      </x:c>
      <x:c r="D301" s="42" t="n">
        <x:v>5.684695764737084</x:v>
      </x:c>
      <x:c r="E301" s="42" t="n">
        <x:f>$B$5-D301</x:f>
        <x:v>38.415304235262916</x:v>
      </x:c>
      <x:c r="F301" s="79" t="n">
        <x:v>39.7845</x:v>
      </x:c>
      <x:c r="G301" s="43"/>
      <x:c r="H301" s="43"/>
      <x:c r="I301" s="44" t="n">
        <x:f>IF(COUNT(F301:H301)=0,"",AVERAGE(F301:H301))</x:f>
        <x:v>39.7845</x:v>
      </x:c>
      <x:c r="J301" s="44" t="n">
        <x:f>IF(I301="","",I301-E301)</x:f>
        <x:v>1.3691957647370856</x:v>
      </x:c>
      <x:c r="K301" s="45" t="n">
        <x:f>IF(I301="","",J301/E301)</x:f>
        <x:v>0.03564193469227421</x:v>
      </x:c>
      <x:c r="L301" s="36" t="str">
        <x:v>Leitura real — sequência serpentina</x:v>
      </x:c>
    </x:row>
  </x:sheetData>
  <x:mergeCells>
    <x:mergeCell ref="A1:L1"/>
    <x:mergeCell ref="A2:L2"/>
    <x:mergeCell ref="F4:L4"/>
    <x:mergeCell ref="G7:L7"/>
    <x:mergeCell ref="G8:L8"/>
    <x:mergeCell ref="G9:L9"/>
    <x:mergeCell ref="G10:L10"/>
    <x:mergeCell ref="I5:L5"/>
    <x:mergeCell ref="I6:L6"/>
    <x:mergeCell ref="I7:L7"/>
    <x:mergeCell ref="I8:L8"/>
    <x:mergeCell ref="I9:L9"/>
    <x:mergeCell ref="I10:L10"/>
  </x:mergeCells>
  <x:conditionalFormatting sqref="K13:K301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dataValidations count="1">
    <x:dataValidation type="decimal" operator="between" sqref="F13:H301">
      <x:formula1>0</x:formula1>
      <x:formula2>4000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8.5" hidden="0" customWidth="1"/>
    <x:col min="3" max="3" width="8.5" hidden="0" customWidth="1"/>
    <x:col min="4" max="4" width="8.5" hidden="0" customWidth="1"/>
    <x:col min="5" max="5" width="8.5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  <x:col min="13" max="13" width="8.5" hidden="0" customWidth="1"/>
    <x:col min="14" max="14" width="8.5" hidden="0" customWidth="1"/>
    <x:col min="15" max="15" width="8.5" hidden="0" customWidth="1"/>
    <x:col min="16" max="16" width="8.5" hidden="0" customWidth="1"/>
    <x:col min="17" max="17" width="8.5" hidden="0" customWidth="1"/>
    <x:col min="18" max="18" width="8.5" hidden="0" customWidth="1"/>
  </x:cols>
  <x:sheetData>
    <x:row r="1" ht="30" customHeight="1">
      <x:c r="A1" s="4" t="str">
        <x:v>MATRIZ 17 × 17 — RESISTÊNCIA ESPERADA NO MTR-1522 (Ω)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>
      <x:c r="A2" s="47" t="str">
        <x:v>d = 0,20 m (eixo da haste) | hP = 0,03 m | R_ref = Comparacao_D020!B5 | x cresce da esquerda para a direita; y cresce de baixo para cima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</x:row>
    <x:row r="4">
      <x:c r="A4" s="50" t="str">
        <x:v>y \ x</x:v>
      </x:c>
      <x:c r="B4" s="50" t="n">
        <x:v>-0.8</x:v>
      </x:c>
      <x:c r="C4" s="50" t="n">
        <x:v>-0.55</x:v>
      </x:c>
      <x:c r="D4" s="50" t="n">
        <x:v>-0.30000000000000004</x:v>
      </x:c>
      <x:c r="E4" s="50" t="n">
        <x:v>-0.050000000000000044</x:v>
      </x:c>
      <x:c r="F4" s="50" t="n">
        <x:v>0.19999999999999996</x:v>
      </x:c>
      <x:c r="G4" s="50" t="n">
        <x:v>0.44999999999999996</x:v>
      </x:c>
      <x:c r="H4" s="50" t="n">
        <x:v>0.7</x:v>
      </x:c>
      <x:c r="I4" s="50" t="n">
        <x:v>0.95</x:v>
      </x:c>
      <x:c r="J4" s="50" t="n">
        <x:v>1.2</x:v>
      </x:c>
      <x:c r="K4" s="50" t="n">
        <x:v>1.45</x:v>
      </x:c>
      <x:c r="L4" s="50" t="n">
        <x:v>1.7</x:v>
      </x:c>
      <x:c r="M4" s="50" t="n">
        <x:v>1.95</x:v>
      </x:c>
      <x:c r="N4" s="50" t="n">
        <x:v>2.2</x:v>
      </x:c>
      <x:c r="O4" s="50" t="n">
        <x:v>2.45</x:v>
      </x:c>
      <x:c r="P4" s="50" t="n">
        <x:v>2.7</x:v>
      </x:c>
      <x:c r="Q4" s="50" t="n">
        <x:v>2.95</x:v>
      </x:c>
      <x:c r="R4" s="50" t="n">
        <x:v>3.2</x:v>
      </x:c>
    </x:row>
    <x:row r="5">
      <x:c r="A5" s="53" t="n">
        <x:v>2</x:v>
      </x:c>
      <x:c r="B5" s="57" t="n">
        <x:f>Comparacao_D020!E285</x:f>
        <x:v>38.415304235262916</x:v>
      </x:c>
      <x:c r="C5" s="57" t="n">
        <x:f>Comparacao_D020!E286</x:f>
        <x:v>38.08431684120323</x:v>
      </x:c>
      <x:c r="D5" s="57" t="n">
        <x:f>Comparacao_D020!E287</x:f>
        <x:v>37.75521015150757</x:v>
      </x:c>
      <x:c r="E5" s="57" t="n">
        <x:f>Comparacao_D020!E288</x:f>
        <x:v>37.44078549513834</x:v>
      </x:c>
      <x:c r="F5" s="57" t="n">
        <x:f>Comparacao_D020!E289</x:f>
        <x:v>37.155789795959066</x:v>
      </x:c>
      <x:c r="G5" s="57" t="n">
        <x:f>Comparacao_D020!E290</x:f>
        <x:v>36.915286690679714</x:v>
      </x:c>
      <x:c r="H5" s="57" t="n">
        <x:f>Comparacao_D020!E291</x:f>
        <x:v>36.73283034580881</x:v>
      </x:c>
      <x:c r="I5" s="57" t="n">
        <x:f>Comparacao_D020!E292</x:f>
        <x:v>36.61895657723595</x:v>
      </x:c>
      <x:c r="J5" s="57" t="n">
        <x:f>Comparacao_D020!E293</x:f>
        <x:v>36.58025500695823</x:v>
      </x:c>
      <x:c r="K5" s="57" t="n">
        <x:f>Comparacao_D020!E294</x:f>
        <x:v>36.61895657723595</x:v>
      </x:c>
      <x:c r="L5" s="57" t="n">
        <x:f>Comparacao_D020!E295</x:f>
        <x:v>36.73283034580881</x:v>
      </x:c>
      <x:c r="M5" s="57" t="n">
        <x:f>Comparacao_D020!E296</x:f>
        <x:v>36.915286690679714</x:v>
      </x:c>
      <x:c r="N5" s="57" t="n">
        <x:f>Comparacao_D020!E297</x:f>
        <x:v>37.155789795959066</x:v>
      </x:c>
      <x:c r="O5" s="57" t="n">
        <x:f>Comparacao_D020!E298</x:f>
        <x:v>37.44078549513835</x:v>
      </x:c>
      <x:c r="P5" s="57" t="n">
        <x:f>Comparacao_D020!E299</x:f>
        <x:v>37.75521015150757</x:v>
      </x:c>
      <x:c r="Q5" s="57" t="n">
        <x:f>Comparacao_D020!E300</x:f>
        <x:v>38.08431684120324</x:v>
      </x:c>
      <x:c r="R5" s="57" t="n">
        <x:f>Comparacao_D020!E301</x:f>
        <x:v>38.415304235262916</x:v>
      </x:c>
    </x:row>
    <x:row r="6">
      <x:c r="A6" s="53" t="n">
        <x:v>1.75</x:v>
      </x:c>
      <x:c r="B6" s="57" t="n">
        <x:f>Comparacao_D020!E268</x:f>
        <x:v>38.002319135724264</x:v>
      </x:c>
      <x:c r="C6" s="57" t="n">
        <x:f>Comparacao_D020!E269</x:f>
        <x:v>37.59060239934689</x:v>
      </x:c>
      <x:c r="D6" s="57" t="n">
        <x:f>Comparacao_D020!E270</x:f>
        <x:v>37.17306565110541</x:v>
      </x:c>
      <x:c r="E6" s="57" t="n">
        <x:f>Comparacao_D020!E271</x:f>
        <x:v>36.767401135575255</x:v>
      </x:c>
      <x:c r="F6" s="57" t="n">
        <x:f>Comparacao_D020!E272</x:f>
        <x:v>36.39503204865498</x:v>
      </x:c>
      <x:c r="G6" s="57" t="n">
        <x:f>Comparacao_D020!E273</x:f>
        <x:v>36.07823150192773</x:v>
      </x:c>
      <x:c r="H6" s="57" t="n">
        <x:f>Comparacao_D020!E274</x:f>
        <x:v>35.836861460116864</x:v>
      </x:c>
      <x:c r="I6" s="57" t="n">
        <x:f>Comparacao_D020!E275</x:f>
        <x:v>35.685959603192806</x:v>
      </x:c>
      <x:c r="J6" s="57" t="n">
        <x:f>Comparacao_D020!E276</x:f>
        <x:v>35.63464979724987</x:v>
      </x:c>
      <x:c r="K6" s="57" t="n">
        <x:f>Comparacao_D020!E277</x:f>
        <x:v>35.685959603192806</x:v>
      </x:c>
      <x:c r="L6" s="57" t="n">
        <x:f>Comparacao_D020!E278</x:f>
        <x:v>35.836861460116864</x:v>
      </x:c>
      <x:c r="M6" s="57" t="n">
        <x:f>Comparacao_D020!E279</x:f>
        <x:v>36.07823150192773</x:v>
      </x:c>
      <x:c r="N6" s="57" t="n">
        <x:f>Comparacao_D020!E280</x:f>
        <x:v>36.39503204865498</x:v>
      </x:c>
      <x:c r="O6" s="57" t="n">
        <x:f>Comparacao_D020!E281</x:f>
        <x:v>36.767401135575255</x:v>
      </x:c>
      <x:c r="P6" s="57" t="n">
        <x:f>Comparacao_D020!E282</x:f>
        <x:v>37.17306565110541</x:v>
      </x:c>
      <x:c r="Q6" s="57" t="n">
        <x:f>Comparacao_D020!E283</x:f>
        <x:v>37.59060239934689</x:v>
      </x:c>
      <x:c r="R6" s="57" t="n">
        <x:f>Comparacao_D020!E284</x:f>
        <x:v>38.002319135724264</x:v>
      </x:c>
    </x:row>
    <x:row r="7">
      <x:c r="A7" s="53" t="n">
        <x:v>1.5</x:v>
      </x:c>
      <x:c r="B7" s="57" t="n">
        <x:f>Comparacao_D020!E251</x:f>
        <x:v>37.547344661071236</x:v>
      </x:c>
      <x:c r="C7" s="57" t="n">
        <x:f>Comparacao_D020!E252</x:f>
        <x:v>37.029388306685604</x:v>
      </x:c>
      <x:c r="D7" s="57" t="n">
        <x:f>Comparacao_D020!E253</x:f>
        <x:v>36.49090691692622</x:v>
      </x:c>
      <x:c r="E7" s="57" t="n">
        <x:f>Comparacao_D020!E254</x:f>
        <x:v>35.95679848584902</x:v>
      </x:c>
      <x:c r="F7" s="57" t="n">
        <x:f>Comparacao_D020!E255</x:f>
        <x:v>35.45945545278447</x:v>
      </x:c>
      <x:c r="G7" s="57" t="n">
        <x:f>Comparacao_D020!E256</x:f>
        <x:v>35.033182802682745</x:v>
      </x:c>
      <x:c r="H7" s="57" t="n">
        <x:f>Comparacao_D020!E257</x:f>
        <x:v>34.70776635744333</x:v>
      </x:c>
      <x:c r="I7" s="57" t="n">
        <x:f>Comparacao_D020!E258</x:f>
        <x:v>34.5044917762785</x:v>
      </x:c>
      <x:c r="J7" s="57" t="n">
        <x:f>Comparacao_D020!E259</x:f>
        <x:v>34.435453603787735</x:v>
      </x:c>
      <x:c r="K7" s="57" t="n">
        <x:f>Comparacao_D020!E260</x:f>
        <x:v>34.5044917762785</x:v>
      </x:c>
      <x:c r="L7" s="57" t="n">
        <x:f>Comparacao_D020!E261</x:f>
        <x:v>34.70776635744333</x:v>
      </x:c>
      <x:c r="M7" s="57" t="n">
        <x:f>Comparacao_D020!E262</x:f>
        <x:v>35.033182802682745</x:v>
      </x:c>
      <x:c r="N7" s="57" t="n">
        <x:f>Comparacao_D020!E263</x:f>
        <x:v>35.45945545278447</x:v>
      </x:c>
      <x:c r="O7" s="57" t="n">
        <x:f>Comparacao_D020!E264</x:f>
        <x:v>35.95679848584902</x:v>
      </x:c>
      <x:c r="P7" s="57" t="n">
        <x:f>Comparacao_D020!E265</x:f>
        <x:v>36.49090691692622</x:v>
      </x:c>
      <x:c r="Q7" s="57" t="n">
        <x:f>Comparacao_D020!E266</x:f>
        <x:v>37.029388306685604</x:v>
      </x:c>
      <x:c r="R7" s="57" t="n">
        <x:f>Comparacao_D020!E267</x:f>
        <x:v>37.547344661071236</x:v>
      </x:c>
    </x:row>
    <x:row r="8">
      <x:c r="A8" s="53" t="n">
        <x:v>1.25</x:v>
      </x:c>
      <x:c r="B8" s="57" t="n">
        <x:f>Comparacao_D020!E234</x:f>
        <x:v>37.051693496678666</x:v>
      </x:c>
      <x:c r="C8" s="57" t="n">
        <x:f>Comparacao_D020!E235</x:f>
        <x:v>36.392427189135624</x:v>
      </x:c>
      <x:c r="D8" s="57" t="n">
        <x:f>Comparacao_D020!E236</x:f>
        <x:v>35.6843559069504</x:v>
      </x:c>
      <x:c r="E8" s="57" t="n">
        <x:f>Comparacao_D020!E237</x:f>
        <x:v>34.96302771829556</x:v>
      </x:c>
      <x:c r="F8" s="57" t="n">
        <x:f>Comparacao_D020!E238</x:f>
        <x:v>34.28031281286709</x:v>
      </x:c>
      <x:c r="G8" s="57" t="n">
        <x:f>Comparacao_D020!E239</x:f>
        <x:v>33.69232278158326</x:v>
      </x:c>
      <x:c r="H8" s="57" t="n">
        <x:f>Comparacao_D020!E240</x:f>
        <x:v>33.2449552936908</x:v>
      </x:c>
      <x:c r="I8" s="57" t="n">
        <x:f>Comparacao_D020!E241</x:f>
        <x:v>32.96721660883137</x:v>
      </x:c>
      <x:c r="J8" s="57" t="n">
        <x:f>Comparacao_D020!E242</x:f>
        <x:v>32.87329330139034</x:v>
      </x:c>
      <x:c r="K8" s="57" t="n">
        <x:f>Comparacao_D020!E243</x:f>
        <x:v>32.96721660883137</x:v>
      </x:c>
      <x:c r="L8" s="57" t="n">
        <x:f>Comparacao_D020!E244</x:f>
        <x:v>33.2449552936908</x:v>
      </x:c>
      <x:c r="M8" s="57" t="n">
        <x:f>Comparacao_D020!E245</x:f>
        <x:v>33.69232278158326</x:v>
      </x:c>
      <x:c r="N8" s="57" t="n">
        <x:f>Comparacao_D020!E246</x:f>
        <x:v>34.280312812867095</x:v>
      </x:c>
      <x:c r="O8" s="57" t="n">
        <x:f>Comparacao_D020!E247</x:f>
        <x:v>34.96302771829556</x:v>
      </x:c>
      <x:c r="P8" s="57" t="n">
        <x:f>Comparacao_D020!E248</x:f>
        <x:v>35.6843559069504</x:v>
      </x:c>
      <x:c r="Q8" s="57" t="n">
        <x:f>Comparacao_D020!E249</x:f>
        <x:v>36.392427189135624</x:v>
      </x:c>
      <x:c r="R8" s="57" t="n">
        <x:f>Comparacao_D020!E250</x:f>
        <x:v>37.051693496678666</x:v>
      </x:c>
    </x:row>
    <x:row r="9">
      <x:c r="A9" s="53" t="n">
        <x:v>1</x:v>
      </x:c>
      <x:c r="B9" s="57" t="n">
        <x:f>Comparacao_D020!E217</x:f>
        <x:v>36.52377704434714</x:v>
      </x:c>
      <x:c r="C9" s="57" t="n">
        <x:f>Comparacao_D020!E218</x:f>
        <x:v>35.67552221803829</x:v>
      </x:c>
      <x:c r="D9" s="57" t="n">
        <x:f>Comparacao_D020!E219</x:f>
        <x:v>34.72246694374845</x:v>
      </x:c>
      <x:c r="E9" s="57" t="n">
        <x:f>Comparacao_D020!E220</x:f>
        <x:v>33.714797398598265</x:v>
      </x:c>
      <x:c r="F9" s="57" t="n">
        <x:f>Comparacao_D020!E221</x:f>
        <x:v>32.742812068626904</x:v>
      </x:c>
      <x:c r="G9" s="57" t="n">
        <x:f>Comparacao_D020!E222</x:f>
        <x:v>31.90720336892575</x:v>
      </x:c>
      <x:c r="H9" s="57" t="n">
        <x:f>Comparacao_D020!E223</x:f>
        <x:v>31.28072429296489</x:v>
      </x:c>
      <x:c r="I9" s="57" t="n">
        <x:f>Comparacao_D020!E224</x:f>
        <x:v>30.898079038071337</x:v>
      </x:c>
      <x:c r="J9" s="57" t="n">
        <x:f>Comparacao_D020!E225</x:f>
        <x:v>30.76995414190977</x:v>
      </x:c>
      <x:c r="K9" s="57" t="n">
        <x:f>Comparacao_D020!E226</x:f>
        <x:v>30.898079038071337</x:v>
      </x:c>
      <x:c r="L9" s="57" t="n">
        <x:f>Comparacao_D020!E227</x:f>
        <x:v>31.28072429296489</x:v>
      </x:c>
      <x:c r="M9" s="57" t="n">
        <x:f>Comparacao_D020!E228</x:f>
        <x:v>31.90720336892575</x:v>
      </x:c>
      <x:c r="N9" s="57" t="n">
        <x:f>Comparacao_D020!E229</x:f>
        <x:v>32.742812068626904</x:v>
      </x:c>
      <x:c r="O9" s="57" t="n">
        <x:f>Comparacao_D020!E230</x:f>
        <x:v>33.714797398598265</x:v>
      </x:c>
      <x:c r="P9" s="57" t="n">
        <x:f>Comparacao_D020!E231</x:f>
        <x:v>34.72246694374845</x:v>
      </x:c>
      <x:c r="Q9" s="57" t="n">
        <x:f>Comparacao_D020!E232</x:f>
        <x:v>35.675522218038296</x:v>
      </x:c>
      <x:c r="R9" s="57" t="n">
        <x:f>Comparacao_D020!E233</x:f>
        <x:v>36.52377704434714</x:v>
      </x:c>
    </x:row>
    <x:row r="10">
      <x:c r="A10" s="53" t="n">
        <x:v>0.75</x:v>
      </x:c>
      <x:c r="B10" s="57" t="n">
        <x:f>Comparacao_D020!E200</x:f>
        <x:v>35.98644471687902</x:v>
      </x:c>
      <x:c r="C10" s="57" t="n">
        <x:f>Comparacao_D020!E201</x:f>
        <x:v>34.88831974181305</x:v>
      </x:c>
      <x:c r="D10" s="57" t="n">
        <x:f>Comparacao_D020!E202</x:f>
        <x:v>33.56998243309295</x:v>
      </x:c>
      <x:c r="E10" s="57" t="n">
        <x:f>Comparacao_D020!E203</x:f>
        <x:v>32.09266772696673</x:v>
      </x:c>
      <x:c r="F10" s="57" t="n">
        <x:f>Comparacao_D020!E204</x:f>
        <x:v>30.6335339158721</x:v>
      </x:c>
      <x:c r="G10" s="57" t="n">
        <x:f>Comparacao_D020!E205</x:f>
        <x:v>29.401674343824606</x:v>
      </x:c>
      <x:c r="H10" s="57" t="n">
        <x:f>Comparacao_D020!E206</x:f>
        <x:v>28.512794204808028</x:v>
      </x:c>
      <x:c r="I10" s="57" t="n">
        <x:f>Comparacao_D020!E207</x:f>
        <x:v>27.98806741806224</x:v>
      </x:c>
      <x:c r="J10" s="57" t="n">
        <x:f>Comparacao_D020!E208</x:f>
        <x:v>27.8155870673584</x:v>
      </x:c>
      <x:c r="K10" s="57" t="n">
        <x:f>Comparacao_D020!E209</x:f>
        <x:v>27.98806741806224</x:v>
      </x:c>
      <x:c r="L10" s="57" t="n">
        <x:f>Comparacao_D020!E210</x:f>
        <x:v>28.512794204808028</x:v>
      </x:c>
      <x:c r="M10" s="57" t="n">
        <x:f>Comparacao_D020!E211</x:f>
        <x:v>29.401674343824606</x:v>
      </x:c>
      <x:c r="N10" s="57" t="n">
        <x:f>Comparacao_D020!E212</x:f>
        <x:v>30.633533915872103</x:v>
      </x:c>
      <x:c r="O10" s="57" t="n">
        <x:f>Comparacao_D020!E213</x:f>
        <x:v>32.09266772696673</x:v>
      </x:c>
      <x:c r="P10" s="57" t="n">
        <x:f>Comparacao_D020!E214</x:f>
        <x:v>33.56998243309295</x:v>
      </x:c>
      <x:c r="Q10" s="57" t="n">
        <x:f>Comparacao_D020!E215</x:f>
        <x:v>34.88831974181305</x:v>
      </x:c>
      <x:c r="R10" s="57" t="n">
        <x:f>Comparacao_D020!E216</x:f>
        <x:v>35.98644471687902</x:v>
      </x:c>
    </x:row>
    <x:row r="11">
      <x:c r="A11" s="53" t="n">
        <x:v>0.5</x:v>
      </x:c>
      <x:c r="B11" s="57" t="n">
        <x:f>Comparacao_D020!E183</x:f>
        <x:v>35.488890878829515</x:v>
      </x:c>
      <x:c r="C11" s="57" t="n">
        <x:f>Comparacao_D020!E184</x:f>
        <x:v>34.08027314837784</x:v>
      </x:c>
      <x:c r="D11" s="57" t="n">
        <x:f>Comparacao_D020!E185</x:f>
        <x:v>32.20958394557847</x:v>
      </x:c>
      <x:c r="E11" s="57" t="n">
        <x:f>Comparacao_D020!E186</x:f>
        <x:v>29.878388656381134</x:v>
      </x:c>
      <x:c r="F11" s="57" t="n">
        <x:f>Comparacao_D020!E187</x:f>
        <x:v>27.49247845449151</x:v>
      </x:c>
      <x:c r="G11" s="57" t="n">
        <x:f>Comparacao_D020!E188</x:f>
        <x:v>25.59749077106183</x:v>
      </x:c>
      <x:c r="H11" s="57" t="n">
        <x:f>Comparacao_D020!E189</x:f>
        <x:v>24.34213304907385</x:v>
      </x:c>
      <x:c r="I11" s="57" t="n">
        <x:f>Comparacao_D020!E190</x:f>
        <x:v>23.644094773170796</x:v>
      </x:c>
      <x:c r="J11" s="57" t="n">
        <x:f>Comparacao_D020!E191</x:f>
        <x:v>23.421008071289357</x:v>
      </x:c>
      <x:c r="K11" s="57" t="n">
        <x:f>Comparacao_D020!E192</x:f>
        <x:v>23.644094773170796</x:v>
      </x:c>
      <x:c r="L11" s="57" t="n">
        <x:f>Comparacao_D020!E193</x:f>
        <x:v>24.34213304907385</x:v>
      </x:c>
      <x:c r="M11" s="57" t="n">
        <x:f>Comparacao_D020!E194</x:f>
        <x:v>25.59749077106183</x:v>
      </x:c>
      <x:c r="N11" s="57" t="n">
        <x:f>Comparacao_D020!E195</x:f>
        <x:v>27.492478454491515</x:v>
      </x:c>
      <x:c r="O11" s="57" t="n">
        <x:f>Comparacao_D020!E196</x:f>
        <x:v>29.878388656381134</x:v>
      </x:c>
      <x:c r="P11" s="57" t="n">
        <x:f>Comparacao_D020!E197</x:f>
        <x:v>32.20958394557848</x:v>
      </x:c>
      <x:c r="Q11" s="57" t="n">
        <x:f>Comparacao_D020!E198</x:f>
        <x:v>34.08027314837784</x:v>
      </x:c>
      <x:c r="R11" s="57" t="n">
        <x:f>Comparacao_D020!E199</x:f>
        <x:v>35.488890878829515</x:v>
      </x:c>
    </x:row>
    <x:row r="12">
      <x:c r="A12" s="53" t="n">
        <x:v>0.25</x:v>
      </x:c>
      <x:c r="B12" s="57" t="n">
        <x:f>Comparacao_D020!E166</x:f>
        <x:v>35.117105923085774</x:v>
      </x:c>
      <x:c r="C12" s="57" t="n">
        <x:f>Comparacao_D020!E167</x:f>
        <x:v>33.39631983255978</x:v>
      </x:c>
      <x:c r="D12" s="57" t="n">
        <x:f>Comparacao_D020!E168</x:f>
        <x:v>30.77178878334034</x:v>
      </x:c>
      <x:c r="E12" s="57" t="n">
        <x:f>Comparacao_D020!E169</x:f>
        <x:v>26.69484983894932</x:v>
      </x:c>
      <x:c r="F12" s="57" t="n">
        <x:f>Comparacao_D020!E170</x:f>
        <x:v>22.193496788780067</x:v>
      </x:c>
      <x:c r="G12" s="57" t="n">
        <x:f>Comparacao_D020!E171</x:f>
        <x:v>19.2218516847863</x:v>
      </x:c>
      <x:c r="H12" s="57" t="n">
        <x:f>Comparacao_D020!E172</x:f>
        <x:v>17.546031273375643</x:v>
      </x:c>
      <x:c r="I12" s="57" t="n">
        <x:f>Comparacao_D020!E173</x:f>
        <x:v>16.68438601878044</x:v>
      </x:c>
      <x:c r="J12" s="57" t="n">
        <x:f>Comparacao_D020!E174</x:f>
        <x:v>16.417294942698792</x:v>
      </x:c>
      <x:c r="K12" s="57" t="n">
        <x:f>Comparacao_D020!E175</x:f>
        <x:v>16.68438601878044</x:v>
      </x:c>
      <x:c r="L12" s="57" t="n">
        <x:f>Comparacao_D020!E176</x:f>
        <x:v>17.546031273375643</x:v>
      </x:c>
      <x:c r="M12" s="57" t="n">
        <x:f>Comparacao_D020!E177</x:f>
        <x:v>19.2218516847863</x:v>
      </x:c>
      <x:c r="N12" s="57" t="n">
        <x:f>Comparacao_D020!E178</x:f>
        <x:v>22.19349678878007</x:v>
      </x:c>
      <x:c r="O12" s="57" t="n">
        <x:f>Comparacao_D020!E179</x:f>
        <x:v>26.694849838949327</x:v>
      </x:c>
      <x:c r="P12" s="57" t="n">
        <x:f>Comparacao_D020!E180</x:f>
        <x:v>30.77178878334034</x:v>
      </x:c>
      <x:c r="Q12" s="57" t="n">
        <x:f>Comparacao_D020!E181</x:f>
        <x:v>33.39631983255979</x:v>
      </x:c>
      <x:c r="R12" s="57" t="n">
        <x:f>Comparacao_D020!E182</x:f>
        <x:v>35.117105923085774</x:v>
      </x:c>
    </x:row>
    <x:row r="13">
      <x:c r="A13" s="53" t="n">
        <x:v>0</x:v>
      </x:c>
      <x:c r="B13" s="57" t="n">
        <x:f>Comparacao_D020!E149</x:f>
        <x:v>34.97580211751157</x:v>
      </x:c>
      <x:c r="C13" s="57" t="n">
        <x:f>Comparacao_D020!E150</x:f>
        <x:v>33.109024885585285</x:v>
      </x:c>
      <x:c r="D13" s="57" t="n">
        <x:f>Comparacao_D020!E151</x:f>
        <x:v>30.000367369930522</x:v>
      </x:c>
      <x:c r="E13" s="57" t="n">
        <x:f>Comparacao_D020!E152</x:f>
        <x:v>23.725784549828553</x:v>
      </x:c>
      <x:c r="F13" s="57" t="n">
        <x:f>Comparacao_D020!E153</x:f>
        <x:v>15.877364300813142</x:v>
      </x:c>
      <x:c r="G13" s="57" t="n">
        <x:f>Comparacao_D020!E154</x:f>
        <x:v>12.034705790162207</x:v>
      </x:c>
      <x:c r="H13" s="57" t="n">
        <x:f>Comparacao_D020!E155</x:f>
        <x:v>10.13977622176936</x:v>
      </x:c>
      <x:c r="I13" s="57" t="n">
        <x:f>Comparacao_D020!E156</x:f>
        <x:v>9.206550670424548</x:v>
      </x:c>
      <x:c r="J13" s="57" t="n">
        <x:f>Comparacao_D020!E157</x:f>
        <x:v>8.921378204815682</x:v>
      </x:c>
      <x:c r="K13" s="57" t="n">
        <x:f>Comparacao_D020!E158</x:f>
        <x:v>9.206550670424548</x:v>
      </x:c>
      <x:c r="L13" s="57" t="n">
        <x:f>Comparacao_D020!E159</x:f>
        <x:v>10.13977622176936</x:v>
      </x:c>
      <x:c r="M13" s="57" t="n">
        <x:f>Comparacao_D020!E160</x:f>
        <x:v>12.034705790162207</x:v>
      </x:c>
      <x:c r="N13" s="57" t="n">
        <x:f>Comparacao_D020!E161</x:f>
        <x:v>15.877364300813152</x:v>
      </x:c>
      <x:c r="O13" s="57" t="n">
        <x:f>Comparacao_D020!E162</x:f>
        <x:v>23.725784549828564</x:v>
      </x:c>
      <x:c r="P13" s="57" t="n">
        <x:f>Comparacao_D020!E163</x:f>
        <x:v>30.000367369930522</x:v>
      </x:c>
      <x:c r="Q13" s="57" t="n">
        <x:f>Comparacao_D020!E164</x:f>
        <x:v>33.109024885585285</x:v>
      </x:c>
      <x:c r="R13" s="57" t="n">
        <x:f>Comparacao_D020!E165</x:f>
        <x:v>34.97580211751157</x:v>
      </x:c>
    </x:row>
    <x:row r="14">
      <x:c r="A14" s="53" t="n">
        <x:v>-0.25</x:v>
      </x:c>
      <x:c r="B14" s="57" t="n">
        <x:f>Comparacao_D020!E132</x:f>
        <x:v>35.117105923085774</x:v>
      </x:c>
      <x:c r="C14" s="57" t="n">
        <x:f>Comparacao_D020!E133</x:f>
        <x:v>33.39631983255978</x:v>
      </x:c>
      <x:c r="D14" s="57" t="n">
        <x:f>Comparacao_D020!E134</x:f>
        <x:v>30.77178878334034</x:v>
      </x:c>
      <x:c r="E14" s="57" t="n">
        <x:f>Comparacao_D020!E135</x:f>
        <x:v>26.69484983894932</x:v>
      </x:c>
      <x:c r="F14" s="57" t="n">
        <x:f>Comparacao_D020!E136</x:f>
        <x:v>22.193496788780067</x:v>
      </x:c>
      <x:c r="G14" s="57" t="n">
        <x:f>Comparacao_D020!E137</x:f>
        <x:v>19.2218516847863</x:v>
      </x:c>
      <x:c r="H14" s="57" t="n">
        <x:f>Comparacao_D020!E138</x:f>
        <x:v>17.546031273375643</x:v>
      </x:c>
      <x:c r="I14" s="57" t="n">
        <x:f>Comparacao_D020!E139</x:f>
        <x:v>16.68438601878044</x:v>
      </x:c>
      <x:c r="J14" s="57" t="n">
        <x:f>Comparacao_D020!E140</x:f>
        <x:v>16.417294942698792</x:v>
      </x:c>
      <x:c r="K14" s="57" t="n">
        <x:f>Comparacao_D020!E141</x:f>
        <x:v>16.68438601878044</x:v>
      </x:c>
      <x:c r="L14" s="57" t="n">
        <x:f>Comparacao_D020!E142</x:f>
        <x:v>17.546031273375643</x:v>
      </x:c>
      <x:c r="M14" s="57" t="n">
        <x:f>Comparacao_D020!E143</x:f>
        <x:v>19.2218516847863</x:v>
      </x:c>
      <x:c r="N14" s="57" t="n">
        <x:f>Comparacao_D020!E144</x:f>
        <x:v>22.19349678878007</x:v>
      </x:c>
      <x:c r="O14" s="57" t="n">
        <x:f>Comparacao_D020!E145</x:f>
        <x:v>26.694849838949327</x:v>
      </x:c>
      <x:c r="P14" s="57" t="n">
        <x:f>Comparacao_D020!E146</x:f>
        <x:v>30.77178878334034</x:v>
      </x:c>
      <x:c r="Q14" s="57" t="n">
        <x:f>Comparacao_D020!E147</x:f>
        <x:v>33.39631983255979</x:v>
      </x:c>
      <x:c r="R14" s="57" t="n">
        <x:f>Comparacao_D020!E148</x:f>
        <x:v>35.117105923085774</x:v>
      </x:c>
    </x:row>
    <x:row r="15">
      <x:c r="A15" s="53" t="n">
        <x:v>-0.5</x:v>
      </x:c>
      <x:c r="B15" s="57" t="n">
        <x:f>Comparacao_D020!E115</x:f>
        <x:v>35.488890878829515</x:v>
      </x:c>
      <x:c r="C15" s="57" t="n">
        <x:f>Comparacao_D020!E116</x:f>
        <x:v>34.08027314837784</x:v>
      </x:c>
      <x:c r="D15" s="57" t="n">
        <x:f>Comparacao_D020!E117</x:f>
        <x:v>32.20958394557847</x:v>
      </x:c>
      <x:c r="E15" s="57" t="n">
        <x:f>Comparacao_D020!E118</x:f>
        <x:v>29.878388656381134</x:v>
      </x:c>
      <x:c r="F15" s="57" t="n">
        <x:f>Comparacao_D020!E119</x:f>
        <x:v>27.49247845449151</x:v>
      </x:c>
      <x:c r="G15" s="57" t="n">
        <x:f>Comparacao_D020!E120</x:f>
        <x:v>25.59749077106183</x:v>
      </x:c>
      <x:c r="H15" s="57" t="n">
        <x:f>Comparacao_D020!E121</x:f>
        <x:v>24.34213304907385</x:v>
      </x:c>
      <x:c r="I15" s="57" t="n">
        <x:f>Comparacao_D020!E122</x:f>
        <x:v>23.644094773170796</x:v>
      </x:c>
      <x:c r="J15" s="57" t="n">
        <x:f>Comparacao_D020!E123</x:f>
        <x:v>23.421008071289357</x:v>
      </x:c>
      <x:c r="K15" s="57" t="n">
        <x:f>Comparacao_D020!E124</x:f>
        <x:v>23.644094773170796</x:v>
      </x:c>
      <x:c r="L15" s="57" t="n">
        <x:f>Comparacao_D020!E125</x:f>
        <x:v>24.34213304907385</x:v>
      </x:c>
      <x:c r="M15" s="57" t="n">
        <x:f>Comparacao_D020!E126</x:f>
        <x:v>25.59749077106183</x:v>
      </x:c>
      <x:c r="N15" s="57" t="n">
        <x:f>Comparacao_D020!E127</x:f>
        <x:v>27.492478454491515</x:v>
      </x:c>
      <x:c r="O15" s="57" t="n">
        <x:f>Comparacao_D020!E128</x:f>
        <x:v>29.878388656381134</x:v>
      </x:c>
      <x:c r="P15" s="57" t="n">
        <x:f>Comparacao_D020!E129</x:f>
        <x:v>32.20958394557848</x:v>
      </x:c>
      <x:c r="Q15" s="57" t="n">
        <x:f>Comparacao_D020!E130</x:f>
        <x:v>34.08027314837784</x:v>
      </x:c>
      <x:c r="R15" s="57" t="n">
        <x:f>Comparacao_D020!E131</x:f>
        <x:v>35.488890878829515</x:v>
      </x:c>
    </x:row>
    <x:row r="16">
      <x:c r="A16" s="53" t="n">
        <x:v>-0.75</x:v>
      </x:c>
      <x:c r="B16" s="57" t="n">
        <x:f>Comparacao_D020!E98</x:f>
        <x:v>35.98644471687902</x:v>
      </x:c>
      <x:c r="C16" s="57" t="n">
        <x:f>Comparacao_D020!E99</x:f>
        <x:v>34.88831974181305</x:v>
      </x:c>
      <x:c r="D16" s="57" t="n">
        <x:f>Comparacao_D020!E100</x:f>
        <x:v>33.56998243309295</x:v>
      </x:c>
      <x:c r="E16" s="57" t="n">
        <x:f>Comparacao_D020!E101</x:f>
        <x:v>32.09266772696673</x:v>
      </x:c>
      <x:c r="F16" s="57" t="n">
        <x:f>Comparacao_D020!E102</x:f>
        <x:v>30.6335339158721</x:v>
      </x:c>
      <x:c r="G16" s="57" t="n">
        <x:f>Comparacao_D020!E103</x:f>
        <x:v>29.401674343824606</x:v>
      </x:c>
      <x:c r="H16" s="57" t="n">
        <x:f>Comparacao_D020!E104</x:f>
        <x:v>28.512794204808028</x:v>
      </x:c>
      <x:c r="I16" s="57" t="n">
        <x:f>Comparacao_D020!E105</x:f>
        <x:v>27.98806741806224</x:v>
      </x:c>
      <x:c r="J16" s="57" t="n">
        <x:f>Comparacao_D020!E106</x:f>
        <x:v>27.8155870673584</x:v>
      </x:c>
      <x:c r="K16" s="57" t="n">
        <x:f>Comparacao_D020!E107</x:f>
        <x:v>27.98806741806224</x:v>
      </x:c>
      <x:c r="L16" s="57" t="n">
        <x:f>Comparacao_D020!E108</x:f>
        <x:v>28.512794204808028</x:v>
      </x:c>
      <x:c r="M16" s="57" t="n">
        <x:f>Comparacao_D020!E109</x:f>
        <x:v>29.401674343824606</x:v>
      </x:c>
      <x:c r="N16" s="57" t="n">
        <x:f>Comparacao_D020!E110</x:f>
        <x:v>30.633533915872103</x:v>
      </x:c>
      <x:c r="O16" s="57" t="n">
        <x:f>Comparacao_D020!E111</x:f>
        <x:v>32.09266772696673</x:v>
      </x:c>
      <x:c r="P16" s="57" t="n">
        <x:f>Comparacao_D020!E112</x:f>
        <x:v>33.56998243309295</x:v>
      </x:c>
      <x:c r="Q16" s="57" t="n">
        <x:f>Comparacao_D020!E113</x:f>
        <x:v>34.88831974181305</x:v>
      </x:c>
      <x:c r="R16" s="57" t="n">
        <x:f>Comparacao_D020!E114</x:f>
        <x:v>35.98644471687902</x:v>
      </x:c>
    </x:row>
    <x:row r="17">
      <x:c r="A17" s="53" t="n">
        <x:v>-1</x:v>
      </x:c>
      <x:c r="B17" s="57" t="n">
        <x:f>Comparacao_D020!E81</x:f>
        <x:v>36.52377704434714</x:v>
      </x:c>
      <x:c r="C17" s="57" t="n">
        <x:f>Comparacao_D020!E82</x:f>
        <x:v>35.67552221803829</x:v>
      </x:c>
      <x:c r="D17" s="57" t="n">
        <x:f>Comparacao_D020!E83</x:f>
        <x:v>34.72246694374845</x:v>
      </x:c>
      <x:c r="E17" s="57" t="n">
        <x:f>Comparacao_D020!E84</x:f>
        <x:v>33.714797398598265</x:v>
      </x:c>
      <x:c r="F17" s="57" t="n">
        <x:f>Comparacao_D020!E85</x:f>
        <x:v>32.742812068626904</x:v>
      </x:c>
      <x:c r="G17" s="57" t="n">
        <x:f>Comparacao_D020!E86</x:f>
        <x:v>31.90720336892575</x:v>
      </x:c>
      <x:c r="H17" s="57" t="n">
        <x:f>Comparacao_D020!E87</x:f>
        <x:v>31.28072429296489</x:v>
      </x:c>
      <x:c r="I17" s="57" t="n">
        <x:f>Comparacao_D020!E88</x:f>
        <x:v>30.898079038071337</x:v>
      </x:c>
      <x:c r="J17" s="57" t="n">
        <x:f>Comparacao_D020!E89</x:f>
        <x:v>30.76995414190977</x:v>
      </x:c>
      <x:c r="K17" s="57" t="n">
        <x:f>Comparacao_D020!E90</x:f>
        <x:v>30.898079038071337</x:v>
      </x:c>
      <x:c r="L17" s="57" t="n">
        <x:f>Comparacao_D020!E91</x:f>
        <x:v>31.28072429296489</x:v>
      </x:c>
      <x:c r="M17" s="57" t="n">
        <x:f>Comparacao_D020!E92</x:f>
        <x:v>31.90720336892575</x:v>
      </x:c>
      <x:c r="N17" s="57" t="n">
        <x:f>Comparacao_D020!E93</x:f>
        <x:v>32.742812068626904</x:v>
      </x:c>
      <x:c r="O17" s="57" t="n">
        <x:f>Comparacao_D020!E94</x:f>
        <x:v>33.714797398598265</x:v>
      </x:c>
      <x:c r="P17" s="57" t="n">
        <x:f>Comparacao_D020!E95</x:f>
        <x:v>34.72246694374845</x:v>
      </x:c>
      <x:c r="Q17" s="57" t="n">
        <x:f>Comparacao_D020!E96</x:f>
        <x:v>35.675522218038296</x:v>
      </x:c>
      <x:c r="R17" s="57" t="n">
        <x:f>Comparacao_D020!E97</x:f>
        <x:v>36.52377704434714</x:v>
      </x:c>
    </x:row>
    <x:row r="18">
      <x:c r="A18" s="53" t="n">
        <x:v>-1.25</x:v>
      </x:c>
      <x:c r="B18" s="57" t="n">
        <x:f>Comparacao_D020!E64</x:f>
        <x:v>37.051693496678666</x:v>
      </x:c>
      <x:c r="C18" s="57" t="n">
        <x:f>Comparacao_D020!E65</x:f>
        <x:v>36.392427189135624</x:v>
      </x:c>
      <x:c r="D18" s="57" t="n">
        <x:f>Comparacao_D020!E66</x:f>
        <x:v>35.6843559069504</x:v>
      </x:c>
      <x:c r="E18" s="57" t="n">
        <x:f>Comparacao_D020!E67</x:f>
        <x:v>34.96302771829556</x:v>
      </x:c>
      <x:c r="F18" s="57" t="n">
        <x:f>Comparacao_D020!E68</x:f>
        <x:v>34.28031281286709</x:v>
      </x:c>
      <x:c r="G18" s="57" t="n">
        <x:f>Comparacao_D020!E69</x:f>
        <x:v>33.69232278158326</x:v>
      </x:c>
      <x:c r="H18" s="57" t="n">
        <x:f>Comparacao_D020!E70</x:f>
        <x:v>33.2449552936908</x:v>
      </x:c>
      <x:c r="I18" s="57" t="n">
        <x:f>Comparacao_D020!E71</x:f>
        <x:v>32.96721660883137</x:v>
      </x:c>
      <x:c r="J18" s="57" t="n">
        <x:f>Comparacao_D020!E72</x:f>
        <x:v>32.87329330139034</x:v>
      </x:c>
      <x:c r="K18" s="57" t="n">
        <x:f>Comparacao_D020!E73</x:f>
        <x:v>32.96721660883137</x:v>
      </x:c>
      <x:c r="L18" s="57" t="n">
        <x:f>Comparacao_D020!E74</x:f>
        <x:v>33.2449552936908</x:v>
      </x:c>
      <x:c r="M18" s="57" t="n">
        <x:f>Comparacao_D020!E75</x:f>
        <x:v>33.69232278158326</x:v>
      </x:c>
      <x:c r="N18" s="57" t="n">
        <x:f>Comparacao_D020!E76</x:f>
        <x:v>34.280312812867095</x:v>
      </x:c>
      <x:c r="O18" s="57" t="n">
        <x:f>Comparacao_D020!E77</x:f>
        <x:v>34.96302771829556</x:v>
      </x:c>
      <x:c r="P18" s="57" t="n">
        <x:f>Comparacao_D020!E78</x:f>
        <x:v>35.6843559069504</x:v>
      </x:c>
      <x:c r="Q18" s="57" t="n">
        <x:f>Comparacao_D020!E79</x:f>
        <x:v>36.392427189135624</x:v>
      </x:c>
      <x:c r="R18" s="57" t="n">
        <x:f>Comparacao_D020!E80</x:f>
        <x:v>37.051693496678666</x:v>
      </x:c>
    </x:row>
    <x:row r="19">
      <x:c r="A19" s="53" t="n">
        <x:v>-1.5</x:v>
      </x:c>
      <x:c r="B19" s="57" t="n">
        <x:f>Comparacao_D020!E47</x:f>
        <x:v>37.547344661071236</x:v>
      </x:c>
      <x:c r="C19" s="57" t="n">
        <x:f>Comparacao_D020!E48</x:f>
        <x:v>37.029388306685604</x:v>
      </x:c>
      <x:c r="D19" s="57" t="n">
        <x:f>Comparacao_D020!E49</x:f>
        <x:v>36.49090691692622</x:v>
      </x:c>
      <x:c r="E19" s="57" t="n">
        <x:f>Comparacao_D020!E50</x:f>
        <x:v>35.95679848584902</x:v>
      </x:c>
      <x:c r="F19" s="57" t="n">
        <x:f>Comparacao_D020!E51</x:f>
        <x:v>35.45945545278447</x:v>
      </x:c>
      <x:c r="G19" s="57" t="n">
        <x:f>Comparacao_D020!E52</x:f>
        <x:v>35.033182802682745</x:v>
      </x:c>
      <x:c r="H19" s="57" t="n">
        <x:f>Comparacao_D020!E53</x:f>
        <x:v>34.70776635744333</x:v>
      </x:c>
      <x:c r="I19" s="57" t="n">
        <x:f>Comparacao_D020!E54</x:f>
        <x:v>34.5044917762785</x:v>
      </x:c>
      <x:c r="J19" s="57" t="n">
        <x:f>Comparacao_D020!E55</x:f>
        <x:v>34.435453603787735</x:v>
      </x:c>
      <x:c r="K19" s="57" t="n">
        <x:f>Comparacao_D020!E56</x:f>
        <x:v>34.5044917762785</x:v>
      </x:c>
      <x:c r="L19" s="57" t="n">
        <x:f>Comparacao_D020!E57</x:f>
        <x:v>34.70776635744333</x:v>
      </x:c>
      <x:c r="M19" s="57" t="n">
        <x:f>Comparacao_D020!E58</x:f>
        <x:v>35.033182802682745</x:v>
      </x:c>
      <x:c r="N19" s="57" t="n">
        <x:f>Comparacao_D020!E59</x:f>
        <x:v>35.45945545278447</x:v>
      </x:c>
      <x:c r="O19" s="57" t="n">
        <x:f>Comparacao_D020!E60</x:f>
        <x:v>35.95679848584902</x:v>
      </x:c>
      <x:c r="P19" s="57" t="n">
        <x:f>Comparacao_D020!E61</x:f>
        <x:v>36.49090691692622</x:v>
      </x:c>
      <x:c r="Q19" s="57" t="n">
        <x:f>Comparacao_D020!E62</x:f>
        <x:v>37.029388306685604</x:v>
      </x:c>
      <x:c r="R19" s="57" t="n">
        <x:f>Comparacao_D020!E63</x:f>
        <x:v>37.547344661071236</x:v>
      </x:c>
    </x:row>
    <x:row r="20">
      <x:c r="A20" s="53" t="n">
        <x:v>-1.75</x:v>
      </x:c>
      <x:c r="B20" s="57" t="n">
        <x:f>Comparacao_D020!E30</x:f>
        <x:v>38.002319135724264</x:v>
      </x:c>
      <x:c r="C20" s="57" t="n">
        <x:f>Comparacao_D020!E31</x:f>
        <x:v>37.59060239934689</x:v>
      </x:c>
      <x:c r="D20" s="57" t="n">
        <x:f>Comparacao_D020!E32</x:f>
        <x:v>37.17306565110541</x:v>
      </x:c>
      <x:c r="E20" s="57" t="n">
        <x:f>Comparacao_D020!E33</x:f>
        <x:v>36.767401135575255</x:v>
      </x:c>
      <x:c r="F20" s="57" t="n">
        <x:f>Comparacao_D020!E34</x:f>
        <x:v>36.39503204865498</x:v>
      </x:c>
      <x:c r="G20" s="57" t="n">
        <x:f>Comparacao_D020!E35</x:f>
        <x:v>36.07823150192773</x:v>
      </x:c>
      <x:c r="H20" s="57" t="n">
        <x:f>Comparacao_D020!E36</x:f>
        <x:v>35.836861460116864</x:v>
      </x:c>
      <x:c r="I20" s="57" t="n">
        <x:f>Comparacao_D020!E37</x:f>
        <x:v>35.685959603192806</x:v>
      </x:c>
      <x:c r="J20" s="57" t="n">
        <x:f>Comparacao_D020!E38</x:f>
        <x:v>35.63464979724987</x:v>
      </x:c>
      <x:c r="K20" s="57" t="n">
        <x:f>Comparacao_D020!E39</x:f>
        <x:v>35.685959603192806</x:v>
      </x:c>
      <x:c r="L20" s="57" t="n">
        <x:f>Comparacao_D020!E40</x:f>
        <x:v>35.836861460116864</x:v>
      </x:c>
      <x:c r="M20" s="57" t="n">
        <x:f>Comparacao_D020!E41</x:f>
        <x:v>36.07823150192773</x:v>
      </x:c>
      <x:c r="N20" s="57" t="n">
        <x:f>Comparacao_D020!E42</x:f>
        <x:v>36.39503204865498</x:v>
      </x:c>
      <x:c r="O20" s="57" t="n">
        <x:f>Comparacao_D020!E43</x:f>
        <x:v>36.767401135575255</x:v>
      </x:c>
      <x:c r="P20" s="57" t="n">
        <x:f>Comparacao_D020!E44</x:f>
        <x:v>37.17306565110541</x:v>
      </x:c>
      <x:c r="Q20" s="57" t="n">
        <x:f>Comparacao_D020!E45</x:f>
        <x:v>37.59060239934689</x:v>
      </x:c>
      <x:c r="R20" s="57" t="n">
        <x:f>Comparacao_D020!E46</x:f>
        <x:v>38.002319135724264</x:v>
      </x:c>
    </x:row>
    <x:row r="21">
      <x:c r="A21" s="53" t="n">
        <x:v>-2</x:v>
      </x:c>
      <x:c r="B21" s="57" t="n">
        <x:f>Comparacao_D020!E13</x:f>
        <x:v>38.415304235262916</x:v>
      </x:c>
      <x:c r="C21" s="57" t="n">
        <x:f>Comparacao_D020!E14</x:f>
        <x:v>38.08431684120323</x:v>
      </x:c>
      <x:c r="D21" s="57" t="n">
        <x:f>Comparacao_D020!E15</x:f>
        <x:v>37.75521015150757</x:v>
      </x:c>
      <x:c r="E21" s="57" t="n">
        <x:f>Comparacao_D020!E16</x:f>
        <x:v>37.44078549513834</x:v>
      </x:c>
      <x:c r="F21" s="57" t="n">
        <x:f>Comparacao_D020!E17</x:f>
        <x:v>37.155789795959066</x:v>
      </x:c>
      <x:c r="G21" s="57" t="n">
        <x:f>Comparacao_D020!E18</x:f>
        <x:v>36.915286690679714</x:v>
      </x:c>
      <x:c r="H21" s="57" t="n">
        <x:f>Comparacao_D020!E19</x:f>
        <x:v>36.73283034580881</x:v>
      </x:c>
      <x:c r="I21" s="57" t="n">
        <x:f>Comparacao_D020!E20</x:f>
        <x:v>36.61895657723595</x:v>
      </x:c>
      <x:c r="J21" s="57" t="n">
        <x:f>Comparacao_D020!E21</x:f>
        <x:v>36.58025500695823</x:v>
      </x:c>
      <x:c r="K21" s="57" t="n">
        <x:f>Comparacao_D020!E22</x:f>
        <x:v>36.61895657723595</x:v>
      </x:c>
      <x:c r="L21" s="57" t="n">
        <x:f>Comparacao_D020!E23</x:f>
        <x:v>36.73283034580881</x:v>
      </x:c>
      <x:c r="M21" s="57" t="n">
        <x:f>Comparacao_D020!E24</x:f>
        <x:v>36.915286690679714</x:v>
      </x:c>
      <x:c r="N21" s="57" t="n">
        <x:f>Comparacao_D020!E25</x:f>
        <x:v>37.155789795959066</x:v>
      </x:c>
      <x:c r="O21" s="57" t="n">
        <x:f>Comparacao_D020!E26</x:f>
        <x:v>37.44078549513835</x:v>
      </x:c>
      <x:c r="P21" s="57" t="n">
        <x:f>Comparacao_D020!E27</x:f>
        <x:v>37.75521015150757</x:v>
      </x:c>
      <x:c r="Q21" s="57" t="n">
        <x:f>Comparacao_D020!E28</x:f>
        <x:v>38.08431684120324</x:v>
      </x:c>
      <x:c r="R21" s="57" t="n">
        <x:f>Comparacao_D020!E29</x:f>
        <x:v>38.415304235262916</x:v>
      </x:c>
    </x:row>
    <x:row r="23">
      <x:c r="A23" s="62" t="str">
        <x:v>A região azul (menor resistência) fica sobre a haste; valores maiores aparecem nas bordas. A haste ocupa x = 0 a 2,40 m em y = 0.</x:v>
      </x:c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</x:row>
    <x:row r="26">
      <x:c r="A26" s="84" t="str">
        <x:v>MATRIZ REAL RECONSTRUÍDA — R_MTR (Ω)</x:v>
      </x:c>
      <x:c r="B26" s="84"/>
      <x:c r="C26" s="84"/>
      <x:c r="D26" s="84"/>
      <x:c r="E26" s="84"/>
      <x:c r="F26" s="84"/>
      <x:c r="G26" s="84"/>
      <x:c r="H26" s="84"/>
      <x:c r="I26" s="84"/>
      <x:c r="J26" s="84"/>
      <x:c r="K26" s="84"/>
      <x:c r="L26" s="84"/>
      <x:c r="M26" s="84"/>
      <x:c r="N26" s="84"/>
      <x:c r="O26" s="84"/>
      <x:c r="P26" s="84"/>
      <x:c r="Q26" s="84"/>
      <x:c r="R26" s="84"/>
    </x:row>
    <x:row r="28">
      <x:c r="A28" s="87" t="str">
        <x:v>y \ x</x:v>
      </x:c>
      <x:c r="B28" s="87" t="n">
        <x:v>-0.8</x:v>
      </x:c>
      <x:c r="C28" s="87" t="n">
        <x:v>-0.55</x:v>
      </x:c>
      <x:c r="D28" s="87" t="n">
        <x:v>-0.30000000000000004</x:v>
      </x:c>
      <x:c r="E28" s="87" t="n">
        <x:v>-0.050000000000000044</x:v>
      </x:c>
      <x:c r="F28" s="87" t="n">
        <x:v>0.19999999999999996</x:v>
      </x:c>
      <x:c r="G28" s="87" t="n">
        <x:v>0.44999999999999996</x:v>
      </x:c>
      <x:c r="H28" s="87" t="n">
        <x:v>0.7</x:v>
      </x:c>
      <x:c r="I28" s="87" t="n">
        <x:v>0.95</x:v>
      </x:c>
      <x:c r="J28" s="87" t="n">
        <x:v>1.2</x:v>
      </x:c>
      <x:c r="K28" s="87" t="n">
        <x:v>1.45</x:v>
      </x:c>
      <x:c r="L28" s="87" t="n">
        <x:v>1.7</x:v>
      </x:c>
      <x:c r="M28" s="87" t="n">
        <x:v>1.95</x:v>
      </x:c>
      <x:c r="N28" s="87" t="n">
        <x:v>2.2</x:v>
      </x:c>
      <x:c r="O28" s="87" t="n">
        <x:v>2.45</x:v>
      </x:c>
      <x:c r="P28" s="87" t="n">
        <x:v>2.7</x:v>
      </x:c>
      <x:c r="Q28" s="87" t="n">
        <x:v>2.95</x:v>
      </x:c>
      <x:c r="R28" s="87" t="n">
        <x:v>3.2</x:v>
      </x:c>
    </x:row>
    <x:row r="29">
      <x:c r="A29" s="87" t="n">
        <x:v>2</x:v>
      </x:c>
      <x:c r="B29" s="56" t="n">
        <x:v>37.5183</x:v>
      </x:c>
      <x:c r="C29" s="56" t="n">
        <x:v>39.1213</x:v>
      </x:c>
      <x:c r="D29" s="56" t="n">
        <x:v>37.3774</x:v>
      </x:c>
      <x:c r="E29" s="56" t="n">
        <x:v>36.25</x:v>
      </x:c>
      <x:c r="F29" s="56" t="n">
        <x:v>36.5739</x:v>
      </x:c>
      <x:c r="G29" s="56" t="n">
        <x:v>39.1205</x:v>
      </x:c>
      <x:c r="H29" s="56" t="n">
        <x:v>34.4117</x:v>
      </x:c>
      <x:c r="I29" s="56" t="n">
        <x:v>39.2599</x:v>
      </x:c>
      <x:c r="J29" s="56" t="n">
        <x:v>40.0054</x:v>
      </x:c>
      <x:c r="K29" s="56" t="n">
        <x:v>36.7944</x:v>
      </x:c>
      <x:c r="L29" s="56" t="n">
        <x:v>37.4338</x:v>
      </x:c>
      <x:c r="M29" s="56" t="n">
        <x:v>33.8255</x:v>
      </x:c>
      <x:c r="N29" s="56" t="n">
        <x:v>42.7751</x:v>
      </x:c>
      <x:c r="O29" s="56" t="n">
        <x:v>39.9187</x:v>
      </x:c>
      <x:c r="P29" s="56" t="n">
        <x:v>38.3911</x:v>
      </x:c>
      <x:c r="Q29" s="56" t="n">
        <x:v>38.4826</x:v>
      </x:c>
      <x:c r="R29" s="56" t="n">
        <x:v>39.7845</x:v>
      </x:c>
    </x:row>
    <x:row r="30">
      <x:c r="A30" s="87" t="n">
        <x:v>1.75</x:v>
      </x:c>
      <x:c r="B30" s="56" t="n">
        <x:v>41.4965</x:v>
      </x:c>
      <x:c r="C30" s="56" t="n">
        <x:v>39.0895</x:v>
      </x:c>
      <x:c r="D30" s="56" t="n">
        <x:v>37.1273</x:v>
      </x:c>
      <x:c r="E30" s="56" t="n">
        <x:v>37.0115</x:v>
      </x:c>
      <x:c r="F30" s="56" t="n">
        <x:v>33.3965</x:v>
      </x:c>
      <x:c r="G30" s="56" t="n">
        <x:v>31.2679</x:v>
      </x:c>
      <x:c r="H30" s="56" t="n">
        <x:v>34.172</x:v>
      </x:c>
      <x:c r="I30" s="56" t="n">
        <x:v>35.7217</x:v>
      </x:c>
      <x:c r="J30" s="56" t="n">
        <x:v>36.9579</x:v>
      </x:c>
      <x:c r="K30" s="56" t="n">
        <x:v>31.5002</x:v>
      </x:c>
      <x:c r="L30" s="56" t="n">
        <x:v>31.7792</x:v>
      </x:c>
      <x:c r="M30" s="56" t="n">
        <x:v>36.1661</x:v>
      </x:c>
      <x:c r="N30" s="56" t="n">
        <x:v>33.0056</x:v>
      </x:c>
      <x:c r="O30" s="56" t="n">
        <x:v>38.5177</x:v>
      </x:c>
      <x:c r="P30" s="56" t="n">
        <x:v>42.1303</x:v>
      </x:c>
      <x:c r="Q30" s="56" t="n">
        <x:v>39.4496</x:v>
      </x:c>
      <x:c r="R30" s="56" t="n">
        <x:v>35.1861</x:v>
      </x:c>
    </x:row>
    <x:row r="31">
      <x:c r="A31" s="87" t="n">
        <x:v>1.5</x:v>
      </x:c>
      <x:c r="B31" s="56" t="n">
        <x:v>39.0006</x:v>
      </x:c>
      <x:c r="C31" s="56" t="n">
        <x:v>42.2295</x:v>
      </x:c>
      <x:c r="D31" s="56" t="n">
        <x:v>42.5197</x:v>
      </x:c>
      <x:c r="E31" s="56" t="n">
        <x:v>38.391</x:v>
      </x:c>
      <x:c r="F31" s="56" t="n">
        <x:v>37.1154</x:v>
      </x:c>
      <x:c r="G31" s="56" t="n">
        <x:v>32.7812</x:v>
      </x:c>
      <x:c r="H31" s="56" t="n">
        <x:v>32.4557</x:v>
      </x:c>
      <x:c r="I31" s="56" t="n">
        <x:v>36.1411</x:v>
      </x:c>
      <x:c r="J31" s="56" t="n">
        <x:v>34.3859</x:v>
      </x:c>
      <x:c r="K31" s="56" t="n">
        <x:v>31.7427</x:v>
      </x:c>
      <x:c r="L31" s="56" t="n">
        <x:v>34.5068</x:v>
      </x:c>
      <x:c r="M31" s="56" t="n">
        <x:v>35.8609</x:v>
      </x:c>
      <x:c r="N31" s="56" t="n">
        <x:v>37.5436</x:v>
      </x:c>
      <x:c r="O31" s="56" t="n">
        <x:v>35.7194</x:v>
      </x:c>
      <x:c r="P31" s="56" t="n">
        <x:v>35.864</x:v>
      </x:c>
      <x:c r="Q31" s="56" t="n">
        <x:v>37.0075</x:v>
      </x:c>
      <x:c r="R31" s="56" t="n">
        <x:v>37.896</x:v>
      </x:c>
    </x:row>
    <x:row r="32">
      <x:c r="A32" s="87" t="n">
        <x:v>1.25</x:v>
      </x:c>
      <x:c r="B32" s="56" t="n">
        <x:v>39.1685</x:v>
      </x:c>
      <x:c r="C32" s="56" t="n">
        <x:v>38.2991</x:v>
      </x:c>
      <x:c r="D32" s="56" t="n">
        <x:v>33.392</x:v>
      </x:c>
      <x:c r="E32" s="56" t="n">
        <x:v>39.8971</x:v>
      </x:c>
      <x:c r="F32" s="56" t="n">
        <x:v>37.8616</x:v>
      </x:c>
      <x:c r="G32" s="56" t="n">
        <x:v>37.3522</x:v>
      </x:c>
      <x:c r="H32" s="56" t="n">
        <x:v>37.0607</x:v>
      </x:c>
      <x:c r="I32" s="56" t="n">
        <x:v>33.011</x:v>
      </x:c>
      <x:c r="J32" s="56" t="n">
        <x:v>32.9726</x:v>
      </x:c>
      <x:c r="K32" s="56" t="n">
        <x:v>31.1703</x:v>
      </x:c>
      <x:c r="L32" s="56" t="n">
        <x:v>32.2955</x:v>
      </x:c>
      <x:c r="M32" s="56" t="n">
        <x:v>32.7313</x:v>
      </x:c>
      <x:c r="N32" s="56" t="n">
        <x:v>34.4698</x:v>
      </x:c>
      <x:c r="O32" s="56" t="n">
        <x:v>36.3844</x:v>
      </x:c>
      <x:c r="P32" s="56" t="n">
        <x:v>35.1247</x:v>
      </x:c>
      <x:c r="Q32" s="56" t="n">
        <x:v>35.7906</x:v>
      </x:c>
      <x:c r="R32" s="56" t="n">
        <x:v>36.3186</x:v>
      </x:c>
    </x:row>
    <x:row r="33">
      <x:c r="A33" s="87" t="n">
        <x:v>1</x:v>
      </x:c>
      <x:c r="B33" s="56" t="n">
        <x:v>37.6797</x:v>
      </x:c>
      <x:c r="C33" s="56" t="n">
        <x:v>38.3142</x:v>
      </x:c>
      <x:c r="D33" s="56" t="n">
        <x:v>34.194</x:v>
      </x:c>
      <x:c r="E33" s="56" t="n">
        <x:v>35.9399</x:v>
      </x:c>
      <x:c r="F33" s="56" t="n">
        <x:v>34.6118</x:v>
      </x:c>
      <x:c r="G33" s="56" t="n">
        <x:v>32.6878</x:v>
      </x:c>
      <x:c r="H33" s="56" t="n">
        <x:v>30.9283</x:v>
      </x:c>
      <x:c r="I33" s="56" t="n">
        <x:v>32.1777</x:v>
      </x:c>
      <x:c r="J33" s="56" t="n">
        <x:v>32.9964</x:v>
      </x:c>
      <x:c r="K33" s="56" t="n">
        <x:v>29.4193</x:v>
      </x:c>
      <x:c r="L33" s="56" t="n">
        <x:v>31.9959</x:v>
      </x:c>
      <x:c r="M33" s="56" t="n">
        <x:v>32.6442</x:v>
      </x:c>
      <x:c r="N33" s="56" t="n">
        <x:v>32.0241</x:v>
      </x:c>
      <x:c r="O33" s="56" t="n">
        <x:v>33.0617</x:v>
      </x:c>
      <x:c r="P33" s="56" t="n">
        <x:v>32.0384</x:v>
      </x:c>
      <x:c r="Q33" s="56" t="n">
        <x:v>33.9057</x:v>
      </x:c>
      <x:c r="R33" s="56" t="n">
        <x:v>33.7208</x:v>
      </x:c>
    </x:row>
    <x:row r="34">
      <x:c r="A34" s="87" t="n">
        <x:v>0.75</x:v>
      </x:c>
      <x:c r="B34" s="56" t="n">
        <x:v>36.8859</x:v>
      </x:c>
      <x:c r="C34" s="56" t="n">
        <x:v>35.4765</x:v>
      </x:c>
      <x:c r="D34" s="56" t="n">
        <x:v>34.8979</x:v>
      </x:c>
      <x:c r="E34" s="56" t="n">
        <x:v>32.8532</x:v>
      </x:c>
      <x:c r="F34" s="56" t="n">
        <x:v>31.2868</x:v>
      </x:c>
      <x:c r="G34" s="56" t="n">
        <x:v>29.8942</x:v>
      </x:c>
      <x:c r="H34" s="56" t="n">
        <x:v>29.4917</x:v>
      </x:c>
      <x:c r="I34" s="56" t="n">
        <x:v>25.7491</x:v>
      </x:c>
      <x:c r="J34" s="56" t="n">
        <x:v>25.5282</x:v>
      </x:c>
      <x:c r="K34" s="56" t="n">
        <x:v>28.5983</x:v>
      </x:c>
      <x:c r="L34" s="56" t="n">
        <x:v>29.2224</x:v>
      </x:c>
      <x:c r="M34" s="56" t="n">
        <x:v>31.0468</x:v>
      </x:c>
      <x:c r="N34" s="56" t="n">
        <x:v>30.1417</x:v>
      </x:c>
      <x:c r="O34" s="56" t="n">
        <x:v>32.5188</x:v>
      </x:c>
      <x:c r="P34" s="56" t="n">
        <x:v>34.913</x:v>
      </x:c>
      <x:c r="Q34" s="56" t="n">
        <x:v>28.8897</x:v>
      </x:c>
      <x:c r="R34" s="56" t="n">
        <x:v>35.6727</x:v>
      </x:c>
    </x:row>
    <x:row r="35">
      <x:c r="A35" s="87" t="n">
        <x:v>0.5</x:v>
      </x:c>
      <x:c r="B35" s="56" t="n">
        <x:v>36.1381</x:v>
      </x:c>
      <x:c r="C35" s="56" t="n">
        <x:v>35.1657</x:v>
      </x:c>
      <x:c r="D35" s="56" t="n">
        <x:v>30.7478</x:v>
      </x:c>
      <x:c r="E35" s="56" t="n">
        <x:v>32.1989</x:v>
      </x:c>
      <x:c r="F35" s="56" t="n">
        <x:v>25.9419</x:v>
      </x:c>
      <x:c r="G35" s="56" t="n">
        <x:v>22.7023</x:v>
      </x:c>
      <x:c r="H35" s="56" t="n">
        <x:v>26.4404</x:v>
      </x:c>
      <x:c r="I35" s="56" t="n">
        <x:v>22.973</x:v>
      </x:c>
      <x:c r="J35" s="56" t="n">
        <x:v>23.4501</x:v>
      </x:c>
      <x:c r="K35" s="56" t="n">
        <x:v>26.4437</x:v>
      </x:c>
      <x:c r="L35" s="56" t="n">
        <x:v>26.2722</x:v>
      </x:c>
      <x:c r="M35" s="56" t="n">
        <x:v>26.6052</x:v>
      </x:c>
      <x:c r="N35" s="56" t="n">
        <x:v>29.3371</x:v>
      </x:c>
      <x:c r="O35" s="56" t="n">
        <x:v>28.5668</x:v>
      </x:c>
      <x:c r="P35" s="56" t="n">
        <x:v>33.7772</x:v>
      </x:c>
      <x:c r="Q35" s="56" t="n">
        <x:v>36.5166</x:v>
      </x:c>
      <x:c r="R35" s="56" t="n">
        <x:v>37.269</x:v>
      </x:c>
    </x:row>
    <x:row r="36">
      <x:c r="A36" s="87" t="n">
        <x:v>0.25</x:v>
      </x:c>
      <x:c r="B36" s="56" t="n">
        <x:v>38.0262</x:v>
      </x:c>
      <x:c r="C36" s="56" t="n">
        <x:v>31.4446</x:v>
      </x:c>
      <x:c r="D36" s="56" t="n">
        <x:v>32.0748</x:v>
      </x:c>
      <x:c r="E36" s="56" t="n">
        <x:v>27.9027</x:v>
      </x:c>
      <x:c r="F36" s="56" t="n">
        <x:v>20.8454</x:v>
      </x:c>
      <x:c r="G36" s="56" t="n">
        <x:v>22.3348</x:v>
      </x:c>
      <x:c r="H36" s="56" t="n">
        <x:v>16.4634</x:v>
      </x:c>
      <x:c r="I36" s="56" t="n">
        <x:v>17.2536</x:v>
      </x:c>
      <x:c r="J36" s="56" t="n">
        <x:v>19.24</x:v>
      </x:c>
      <x:c r="K36" s="56" t="n">
        <x:v>17.2899</x:v>
      </x:c>
      <x:c r="L36" s="56" t="n">
        <x:v>18.3219</x:v>
      </x:c>
      <x:c r="M36" s="56" t="n">
        <x:v>19.7869</x:v>
      </x:c>
      <x:c r="N36" s="56" t="n">
        <x:v>19.0675</x:v>
      </x:c>
      <x:c r="O36" s="56" t="n">
        <x:v>25.9309</x:v>
      </x:c>
      <x:c r="P36" s="56" t="n">
        <x:v>28.049</x:v>
      </x:c>
      <x:c r="Q36" s="56" t="n">
        <x:v>35.1793</x:v>
      </x:c>
      <x:c r="R36" s="56" t="n">
        <x:v>33.3036</x:v>
      </x:c>
    </x:row>
    <x:row r="37">
      <x:c r="A37" s="87" t="n">
        <x:v>0</x:v>
      </x:c>
      <x:c r="B37" s="56" t="n">
        <x:v>37.2824</x:v>
      </x:c>
      <x:c r="C37" s="56" t="n">
        <x:v>37.2116</x:v>
      </x:c>
      <x:c r="D37" s="56" t="n">
        <x:v>28.5143</x:v>
      </x:c>
      <x:c r="E37" s="56" t="n">
        <x:v>20.3707</x:v>
      </x:c>
      <x:c r="F37" s="56" t="n">
        <x:v>17.5407</x:v>
      </x:c>
      <x:c r="G37" s="56" t="n">
        <x:v>11.0948</x:v>
      </x:c>
      <x:c r="H37" s="56" t="n">
        <x:v>10.2897</x:v>
      </x:c>
      <x:c r="I37" s="56" t="n">
        <x:v>9.408</x:v>
      </x:c>
      <x:c r="J37" s="56" t="n">
        <x:v>8.464</x:v>
      </x:c>
      <x:c r="K37" s="56" t="n">
        <x:v>10.1576</x:v>
      </x:c>
      <x:c r="L37" s="56" t="n">
        <x:v>11.1775</x:v>
      </x:c>
      <x:c r="M37" s="56" t="n">
        <x:v>12.5118</x:v>
      </x:c>
      <x:c r="N37" s="56" t="n">
        <x:v>15.9226</x:v>
      </x:c>
      <x:c r="O37" s="56" t="n">
        <x:v>24.1017</x:v>
      </x:c>
      <x:c r="P37" s="56" t="n">
        <x:v>28.0567</x:v>
      </x:c>
      <x:c r="Q37" s="56" t="n">
        <x:v>32.7027</x:v>
      </x:c>
      <x:c r="R37" s="56" t="n">
        <x:v>34.8147</x:v>
      </x:c>
    </x:row>
    <x:row r="38">
      <x:c r="A38" s="87" t="n">
        <x:v>-0.25</x:v>
      </x:c>
      <x:c r="B38" s="56" t="n">
        <x:v>40.2022</x:v>
      </x:c>
      <x:c r="C38" s="56" t="n">
        <x:v>32.9466</x:v>
      </x:c>
      <x:c r="D38" s="56" t="n">
        <x:v>28.4407</x:v>
      </x:c>
      <x:c r="E38" s="56" t="n">
        <x:v>28.4718</x:v>
      </x:c>
      <x:c r="F38" s="56" t="n">
        <x:v>21.0367</x:v>
      </x:c>
      <x:c r="G38" s="56" t="n">
        <x:v>17.1124</x:v>
      </x:c>
      <x:c r="H38" s="56" t="n">
        <x:v>16.6922</x:v>
      </x:c>
      <x:c r="I38" s="56" t="n">
        <x:v>16.6853</x:v>
      </x:c>
      <x:c r="J38" s="56" t="n">
        <x:v>18.3665</x:v>
      </x:c>
      <x:c r="K38" s="56" t="n">
        <x:v>17.2085</x:v>
      </x:c>
      <x:c r="L38" s="56" t="n">
        <x:v>19.3852</x:v>
      </x:c>
      <x:c r="M38" s="56" t="n">
        <x:v>20.4413</x:v>
      </x:c>
      <x:c r="N38" s="56" t="n">
        <x:v>24.0443</x:v>
      </x:c>
      <x:c r="O38" s="56" t="n">
        <x:v>26.0726</x:v>
      </x:c>
      <x:c r="P38" s="56" t="n">
        <x:v>30.4832</x:v>
      </x:c>
      <x:c r="Q38" s="56" t="n">
        <x:v>36.3536</x:v>
      </x:c>
      <x:c r="R38" s="56" t="n">
        <x:v>36.7917</x:v>
      </x:c>
    </x:row>
    <x:row r="39">
      <x:c r="A39" s="87" t="n">
        <x:v>-0.5</x:v>
      </x:c>
      <x:c r="B39" s="56" t="n">
        <x:v>38.0029</x:v>
      </x:c>
      <x:c r="C39" s="56" t="n">
        <x:v>33.7587</x:v>
      </x:c>
      <x:c r="D39" s="56" t="n">
        <x:v>35.433</x:v>
      </x:c>
      <x:c r="E39" s="56" t="n">
        <x:v>30.664</x:v>
      </x:c>
      <x:c r="F39" s="56" t="n">
        <x:v>27.8323</x:v>
      </x:c>
      <x:c r="G39" s="56" t="n">
        <x:v>26.8086</x:v>
      </x:c>
      <x:c r="H39" s="56" t="n">
        <x:v>25.462</x:v>
      </x:c>
      <x:c r="I39" s="56" t="n">
        <x:v>25.7135</x:v>
      </x:c>
      <x:c r="J39" s="56" t="n">
        <x:v>22.6468</x:v>
      </x:c>
      <x:c r="K39" s="56" t="n">
        <x:v>20.6912</x:v>
      </x:c>
      <x:c r="L39" s="56" t="n">
        <x:v>24.9432</x:v>
      </x:c>
      <x:c r="M39" s="56" t="n">
        <x:v>25.0841</x:v>
      </x:c>
      <x:c r="N39" s="56" t="n">
        <x:v>27.5601</x:v>
      </x:c>
      <x:c r="O39" s="56" t="n">
        <x:v>33.5185</x:v>
      </x:c>
      <x:c r="P39" s="56" t="n">
        <x:v>30.6068</x:v>
      </x:c>
      <x:c r="Q39" s="56" t="n">
        <x:v>36.3422</x:v>
      </x:c>
      <x:c r="R39" s="56" t="n">
        <x:v>38.2476</x:v>
      </x:c>
    </x:row>
    <x:row r="40">
      <x:c r="A40" s="87" t="n">
        <x:v>-0.75</x:v>
      </x:c>
      <x:c r="B40" s="56" t="n">
        <x:v>36.3307</x:v>
      </x:c>
      <x:c r="C40" s="56" t="n">
        <x:v>31.0187</x:v>
      </x:c>
      <x:c r="D40" s="56" t="n">
        <x:v>31.7197</x:v>
      </x:c>
      <x:c r="E40" s="56" t="n">
        <x:v>30.2676</x:v>
      </x:c>
      <x:c r="F40" s="56" t="n">
        <x:v>31.3673</x:v>
      </x:c>
      <x:c r="G40" s="56" t="n">
        <x:v>28.9284</x:v>
      </x:c>
      <x:c r="H40" s="56" t="n">
        <x:v>32.3087</x:v>
      </x:c>
      <x:c r="I40" s="56" t="n">
        <x:v>28.3639</x:v>
      </x:c>
      <x:c r="J40" s="56" t="n">
        <x:v>25.7527</x:v>
      </x:c>
      <x:c r="K40" s="56" t="n">
        <x:v>24.9819</x:v>
      </x:c>
      <x:c r="L40" s="56" t="n">
        <x:v>25.161</x:v>
      </x:c>
      <x:c r="M40" s="56" t="n">
        <x:v>30.5708</x:v>
      </x:c>
      <x:c r="N40" s="56" t="n">
        <x:v>32.0005</x:v>
      </x:c>
      <x:c r="O40" s="56" t="n">
        <x:v>30.4529</x:v>
      </x:c>
      <x:c r="P40" s="56" t="n">
        <x:v>33.2043</x:v>
      </x:c>
      <x:c r="Q40" s="56" t="n">
        <x:v>33.473</x:v>
      </x:c>
      <x:c r="R40" s="56" t="n">
        <x:v>33.2327</x:v>
      </x:c>
    </x:row>
    <x:row r="41">
      <x:c r="A41" s="87" t="n">
        <x:v>-1</x:v>
      </x:c>
      <x:c r="B41" s="56" t="n">
        <x:v>33.639</x:v>
      </x:c>
      <x:c r="C41" s="56" t="n">
        <x:v>35.9228</x:v>
      </x:c>
      <x:c r="D41" s="56" t="n">
        <x:v>30.8404</x:v>
      </x:c>
      <x:c r="E41" s="56" t="n">
        <x:v>32.1241</x:v>
      </x:c>
      <x:c r="F41" s="56" t="n">
        <x:v>37.2011</x:v>
      </x:c>
      <x:c r="G41" s="56" t="n">
        <x:v>30.6312</x:v>
      </x:c>
      <x:c r="H41" s="56" t="n">
        <x:v>33.3394</x:v>
      </x:c>
      <x:c r="I41" s="56" t="n">
        <x:v>31.6598</x:v>
      </x:c>
      <x:c r="J41" s="56" t="n">
        <x:v>30.3722</x:v>
      </x:c>
      <x:c r="K41" s="56" t="n">
        <x:v>29.5478</x:v>
      </x:c>
      <x:c r="L41" s="56" t="n">
        <x:v>33.6879</x:v>
      </x:c>
      <x:c r="M41" s="56" t="n">
        <x:v>31.4716</x:v>
      </x:c>
      <x:c r="N41" s="56" t="n">
        <x:v>35.7731</x:v>
      </x:c>
      <x:c r="O41" s="56" t="n">
        <x:v>32.1459</x:v>
      </x:c>
      <x:c r="P41" s="56" t="n">
        <x:v>34.7957</x:v>
      </x:c>
      <x:c r="Q41" s="56" t="n">
        <x:v>36.6718</x:v>
      </x:c>
      <x:c r="R41" s="56" t="n">
        <x:v>37.3531</x:v>
      </x:c>
    </x:row>
    <x:row r="42">
      <x:c r="A42" s="87" t="n">
        <x:v>-1.25</x:v>
      </x:c>
      <x:c r="B42" s="56" t="n">
        <x:v>37.5241</x:v>
      </x:c>
      <x:c r="C42" s="56" t="n">
        <x:v>34.9445</x:v>
      </x:c>
      <x:c r="D42" s="56" t="n">
        <x:v>38.4556</x:v>
      </x:c>
      <x:c r="E42" s="56" t="n">
        <x:v>32.9013</x:v>
      </x:c>
      <x:c r="F42" s="56" t="n">
        <x:v>31.1696</x:v>
      </x:c>
      <x:c r="G42" s="56" t="n">
        <x:v>31.6178</x:v>
      </x:c>
      <x:c r="H42" s="56" t="n">
        <x:v>31.1423</x:v>
      </x:c>
      <x:c r="I42" s="56" t="n">
        <x:v>30.9349</x:v>
      </x:c>
      <x:c r="J42" s="56" t="n">
        <x:v>31.7421</x:v>
      </x:c>
      <x:c r="K42" s="56" t="n">
        <x:v>35.6256</x:v>
      </x:c>
      <x:c r="L42" s="56" t="n">
        <x:v>33.8732</x:v>
      </x:c>
      <x:c r="M42" s="56" t="n">
        <x:v>33.1491</x:v>
      </x:c>
      <x:c r="N42" s="56" t="n">
        <x:v>34.3224</x:v>
      </x:c>
      <x:c r="O42" s="56" t="n">
        <x:v>34.1158</x:v>
      </x:c>
      <x:c r="P42" s="56" t="n">
        <x:v>38.029</x:v>
      </x:c>
      <x:c r="Q42" s="56" t="n">
        <x:v>35.0626</x:v>
      </x:c>
      <x:c r="R42" s="56" t="n">
        <x:v>39.1547</x:v>
      </x:c>
    </x:row>
    <x:row r="43">
      <x:c r="A43" s="87" t="n">
        <x:v>-1.5</x:v>
      </x:c>
      <x:c r="B43" s="56" t="n">
        <x:v>36.1113</x:v>
      </x:c>
      <x:c r="C43" s="56" t="n">
        <x:v>39.2053</x:v>
      </x:c>
      <x:c r="D43" s="56" t="n">
        <x:v>35.8896</x:v>
      </x:c>
      <x:c r="E43" s="56" t="n">
        <x:v>35.4822</x:v>
      </x:c>
      <x:c r="F43" s="56" t="n">
        <x:v>37.0931</x:v>
      </x:c>
      <x:c r="G43" s="56" t="n">
        <x:v>37.431</x:v>
      </x:c>
      <x:c r="H43" s="56" t="n">
        <x:v>35.6125</x:v>
      </x:c>
      <x:c r="I43" s="56" t="n">
        <x:v>33.5977</x:v>
      </x:c>
      <x:c r="J43" s="56" t="n">
        <x:v>33.0841</x:v>
      </x:c>
      <x:c r="K43" s="56" t="n">
        <x:v>37.9895</x:v>
      </x:c>
      <x:c r="L43" s="56" t="n">
        <x:v>36.3559</x:v>
      </x:c>
      <x:c r="M43" s="56" t="n">
        <x:v>36.9448</x:v>
      </x:c>
      <x:c r="N43" s="56" t="n">
        <x:v>40.5907</x:v>
      </x:c>
      <x:c r="O43" s="56" t="n">
        <x:v>34.4371</x:v>
      </x:c>
      <x:c r="P43" s="56" t="n">
        <x:v>42.5686</x:v>
      </x:c>
      <x:c r="Q43" s="56" t="n">
        <x:v>43.3961</x:v>
      </x:c>
      <x:c r="R43" s="56" t="n">
        <x:v>41.551</x:v>
      </x:c>
    </x:row>
    <x:row r="44">
      <x:c r="A44" s="87" t="n">
        <x:v>-1.75</x:v>
      </x:c>
      <x:c r="B44" s="56" t="n">
        <x:v>41.3393</x:v>
      </x:c>
      <x:c r="C44" s="56" t="n">
        <x:v>40.1973</x:v>
      </x:c>
      <x:c r="D44" s="56" t="n">
        <x:v>40.9585</x:v>
      </x:c>
      <x:c r="E44" s="56" t="n">
        <x:v>34.7679</x:v>
      </x:c>
      <x:c r="F44" s="56" t="n">
        <x:v>37.4636</x:v>
      </x:c>
      <x:c r="G44" s="56" t="n">
        <x:v>33.9981</x:v>
      </x:c>
      <x:c r="H44" s="56" t="n">
        <x:v>39.5135</x:v>
      </x:c>
      <x:c r="I44" s="56" t="n">
        <x:v>34.784</x:v>
      </x:c>
      <x:c r="J44" s="56" t="n">
        <x:v>40.3514</x:v>
      </x:c>
      <x:c r="K44" s="56" t="n">
        <x:v>37.7899</x:v>
      </x:c>
      <x:c r="L44" s="56" t="n">
        <x:v>36.1897</x:v>
      </x:c>
      <x:c r="M44" s="56" t="n">
        <x:v>36.2436</x:v>
      </x:c>
      <x:c r="N44" s="56" t="n">
        <x:v>38.566</x:v>
      </x:c>
      <x:c r="O44" s="56" t="n">
        <x:v>36.3659</x:v>
      </x:c>
      <x:c r="P44" s="56" t="n">
        <x:v>34.6884</x:v>
      </x:c>
      <x:c r="Q44" s="56" t="n">
        <x:v>37.9714</x:v>
      </x:c>
      <x:c r="R44" s="56" t="n">
        <x:v>39.977</x:v>
      </x:c>
    </x:row>
    <x:row r="45">
      <x:c r="A45" s="87" t="n">
        <x:v>-2</x:v>
      </x:c>
      <x:c r="B45" s="56" t="n">
        <x:v>36.8171</x:v>
      </x:c>
      <x:c r="C45" s="56" t="n">
        <x:v>38.9727</x:v>
      </x:c>
      <x:c r="D45" s="56" t="n">
        <x:v>33.6549</x:v>
      </x:c>
      <x:c r="E45" s="56" t="n">
        <x:v>41.0553</x:v>
      </x:c>
      <x:c r="F45" s="56" t="n">
        <x:v>39.0225</x:v>
      </x:c>
      <x:c r="G45" s="56" t="n">
        <x:v>36.664</x:v>
      </x:c>
      <x:c r="H45" s="56" t="n">
        <x:v>36.4632</x:v>
      </x:c>
      <x:c r="I45" s="56" t="n">
        <x:v>37.7753</x:v>
      </x:c>
      <x:c r="J45" s="56" t="n">
        <x:v>36.4616</x:v>
      </x:c>
      <x:c r="K45" s="56" t="n">
        <x:v>36.6184</x:v>
      </x:c>
      <x:c r="L45" s="56" t="n">
        <x:v>38.9121</x:v>
      </x:c>
      <x:c r="M45" s="56" t="n">
        <x:v>38.6561</x:v>
      </x:c>
      <x:c r="N45" s="56" t="n">
        <x:v>37.5929</x:v>
      </x:c>
      <x:c r="O45" s="56" t="n">
        <x:v>37.8509</x:v>
      </x:c>
      <x:c r="P45" s="56" t="n">
        <x:v>38.7643</x:v>
      </x:c>
      <x:c r="Q45" s="56" t="n">
        <x:v>37.2864</x:v>
      </x:c>
      <x:c r="R45" s="56" t="n">
        <x:v>38.1272</x:v>
      </x:c>
    </x:row>
    <x:row r="48">
      <x:c r="A48" s="84" t="str">
        <x:v>RESÍDUO REAL − IDEAL (Ω)</x:v>
      </x:c>
      <x:c r="B48" s="84"/>
      <x:c r="C48" s="84"/>
      <x:c r="D48" s="84"/>
      <x:c r="E48" s="84"/>
      <x:c r="F48" s="84"/>
      <x:c r="G48" s="84"/>
      <x:c r="H48" s="84"/>
      <x:c r="I48" s="84"/>
      <x:c r="J48" s="84"/>
      <x:c r="K48" s="84"/>
      <x:c r="L48" s="84"/>
      <x:c r="M48" s="84"/>
      <x:c r="N48" s="84"/>
      <x:c r="O48" s="84"/>
      <x:c r="P48" s="84"/>
      <x:c r="Q48" s="84"/>
      <x:c r="R48" s="84"/>
    </x:row>
    <x:row r="50">
      <x:c r="A50" s="87" t="str">
        <x:v>y \ x</x:v>
      </x:c>
      <x:c r="B50" s="87" t="n">
        <x:v>-0.8</x:v>
      </x:c>
      <x:c r="C50" s="87" t="n">
        <x:v>-0.55</x:v>
      </x:c>
      <x:c r="D50" s="87" t="n">
        <x:v>-0.30000000000000004</x:v>
      </x:c>
      <x:c r="E50" s="87" t="n">
        <x:v>-0.050000000000000044</x:v>
      </x:c>
      <x:c r="F50" s="87" t="n">
        <x:v>0.19999999999999996</x:v>
      </x:c>
      <x:c r="G50" s="87" t="n">
        <x:v>0.44999999999999996</x:v>
      </x:c>
      <x:c r="H50" s="87" t="n">
        <x:v>0.7</x:v>
      </x:c>
      <x:c r="I50" s="87" t="n">
        <x:v>0.95</x:v>
      </x:c>
      <x:c r="J50" s="87" t="n">
        <x:v>1.2</x:v>
      </x:c>
      <x:c r="K50" s="87" t="n">
        <x:v>1.45</x:v>
      </x:c>
      <x:c r="L50" s="87" t="n">
        <x:v>1.7</x:v>
      </x:c>
      <x:c r="M50" s="87" t="n">
        <x:v>1.95</x:v>
      </x:c>
      <x:c r="N50" s="87" t="n">
        <x:v>2.2</x:v>
      </x:c>
      <x:c r="O50" s="87" t="n">
        <x:v>2.45</x:v>
      </x:c>
      <x:c r="P50" s="87" t="n">
        <x:v>2.7</x:v>
      </x:c>
      <x:c r="Q50" s="87" t="n">
        <x:v>2.95</x:v>
      </x:c>
      <x:c r="R50" s="87" t="n">
        <x:v>3.2</x:v>
      </x:c>
    </x:row>
    <x:row r="51">
      <x:c r="A51" s="87" t="n">
        <x:v>2</x:v>
      </x:c>
      <x:c r="B51" s="89" t="n">
        <x:v>-0.8970042352629122</x:v>
      </x:c>
      <x:c r="C51" s="89" t="n">
        <x:v>1.0369831587967653</x:v>
      </x:c>
      <x:c r="D51" s="89" t="n">
        <x:v>-0.3778101515075676</x:v>
      </x:c>
      <x:c r="E51" s="89" t="n">
        <x:v>-1.1907854951383428</x:v>
      </x:c>
      <x:c r="F51" s="89" t="n">
        <x:v>-0.5818897959590643</x:v>
      </x:c>
      <x:c r="G51" s="89" t="n">
        <x:v>2.2052133093202855</x:v>
      </x:c>
      <x:c r="H51" s="89" t="n">
        <x:v>-2.321130345808804</x:v>
      </x:c>
      <x:c r="I51" s="89" t="n">
        <x:v>2.640943422764053</x:v>
      </x:c>
      <x:c r="J51" s="89" t="n">
        <x:v>3.4251449930417692</x:v>
      </x:c>
      <x:c r="K51" s="89" t="n">
        <x:v>0.17544342276405445</x:v>
      </x:c>
      <x:c r="L51" s="89" t="n">
        <x:v>0.7009696541911907</x:v>
      </x:c>
      <x:c r="M51" s="89" t="n">
        <x:v>-3.0897866906797162</x:v>
      </x:c>
      <x:c r="N51" s="89" t="n">
        <x:v>5.619310204040936</x:v>
      </x:c>
      <x:c r="O51" s="89" t="n">
        <x:v>2.4779145048616513</x:v>
      </x:c>
      <x:c r="P51" s="89" t="n">
        <x:v>0.6358898484924325</x:v>
      </x:c>
      <x:c r="Q51" s="89" t="n">
        <x:v>0.39828315879675813</x:v>
      </x:c>
      <x:c r="R51" s="89" t="n">
        <x:v>1.3691957647370856</x:v>
      </x:c>
    </x:row>
    <x:row r="52">
      <x:c r="A52" s="87" t="n">
        <x:v>1.75</x:v>
      </x:c>
      <x:c r="B52" s="89" t="n">
        <x:v>3.4941808642757337</x:v>
      </x:c>
      <x:c r="C52" s="89" t="n">
        <x:v>1.498897600653109</x:v>
      </x:c>
      <x:c r="D52" s="89" t="n">
        <x:v>-0.04576565110541253</x:v>
      </x:c>
      <x:c r="E52" s="89" t="n">
        <x:v>0.2440988644247426</x:v>
      </x:c>
      <x:c r="F52" s="89" t="n">
        <x:v>-2.9985320486549796</x:v>
      </x:c>
      <x:c r="G52" s="89" t="n">
        <x:v>-4.810331501927731</x:v>
      </x:c>
      <x:c r="H52" s="89" t="n">
        <x:v>-1.6648614601168674</x:v>
      </x:c>
      <x:c r="I52" s="89" t="n">
        <x:v>0.0357403968071921</x:v>
      </x:c>
      <x:c r="J52" s="89" t="n">
        <x:v>1.3232502027501312</x:v>
      </x:c>
      <x:c r="K52" s="89" t="n">
        <x:v>-4.185759603192807</x:v>
      </x:c>
      <x:c r="L52" s="89" t="n">
        <x:v>-4.057661460116865</x:v>
      </x:c>
      <x:c r="M52" s="89" t="n">
        <x:v>0.08786849807226815</x:v>
      </x:c>
      <x:c r="N52" s="89" t="n">
        <x:v>-3.3894320486549816</x:v>
      </x:c>
      <x:c r="O52" s="89" t="n">
        <x:v>1.7502988644247424</x:v>
      </x:c>
      <x:c r="P52" s="89" t="n">
        <x:v>4.957234348894588</x:v>
      </x:c>
      <x:c r="Q52" s="89" t="n">
        <x:v>1.8589976006531046</x:v>
      </x:c>
      <x:c r="R52" s="89" t="n">
        <x:v>-2.8162191357242605</x:v>
      </x:c>
    </x:row>
    <x:row r="53">
      <x:c r="A53" s="87" t="n">
        <x:v>1.5</x:v>
      </x:c>
      <x:c r="B53" s="89" t="n">
        <x:v>1.4532553389287628</x:v>
      </x:c>
      <x:c r="C53" s="89" t="n">
        <x:v>5.200111693314398</x:v>
      </x:c>
      <x:c r="D53" s="89" t="n">
        <x:v>6.028793083073779</x:v>
      </x:c>
      <x:c r="E53" s="89" t="n">
        <x:v>2.4342015141509776</x:v>
      </x:c>
      <x:c r="F53" s="89" t="n">
        <x:v>1.6559445472155332</x:v>
      </x:c>
      <x:c r="G53" s="89" t="n">
        <x:v>-2.251982802682747</x:v>
      </x:c>
      <x:c r="H53" s="89" t="n">
        <x:v>-2.252066357443333</x:v>
      </x:c>
      <x:c r="I53" s="89" t="n">
        <x:v>1.6366082237215025</x:v>
      </x:c>
      <x:c r="J53" s="89" t="n">
        <x:v>-0.04955360378773577</x:v>
      </x:c>
      <x:c r="K53" s="89" t="n">
        <x:v>-2.7617917762785</x:v>
      </x:c>
      <x:c r="L53" s="89" t="n">
        <x:v>-0.2009663574433347</x:v>
      </x:c>
      <x:c r="M53" s="89" t="n">
        <x:v>0.8277171973172557</x:v>
      </x:c>
      <x:c r="N53" s="89" t="n">
        <x:v>2.08414454721553</x:v>
      </x:c>
      <x:c r="O53" s="89" t="n">
        <x:v>-0.23739848584902035</x:v>
      </x:c>
      <x:c r="P53" s="89" t="n">
        <x:v>-0.6269069169262238</x:v>
      </x:c>
      <x:c r="Q53" s="89" t="n">
        <x:v>-0.02188830668560371</x:v>
      </x:c>
      <x:c r="R53" s="89" t="n">
        <x:v>0.348655338928765</x:v>
      </x:c>
    </x:row>
    <x:row r="54">
      <x:c r="A54" s="87" t="n">
        <x:v>1.25</x:v>
      </x:c>
      <x:c r="B54" s="89" t="n">
        <x:v>2.1168065033213352</x:v>
      </x:c>
      <x:c r="C54" s="89" t="n">
        <x:v>1.9066728108643787</x:v>
      </x:c>
      <x:c r="D54" s="89" t="n">
        <x:v>-2.292355906950398</x:v>
      </x:c>
      <x:c r="E54" s="89" t="n">
        <x:v>4.934072281704445</x:v>
      </x:c>
      <x:c r="F54" s="89" t="n">
        <x:v>3.581287187132915</x:v>
      </x:c>
      <x:c r="G54" s="89" t="n">
        <x:v>3.659877218416746</x:v>
      </x:c>
      <x:c r="H54" s="89" t="n">
        <x:v>3.8157447063091965</x:v>
      </x:c>
      <x:c r="I54" s="89" t="n">
        <x:v>0.04378339116863117</x:v>
      </x:c>
      <x:c r="J54" s="89" t="n">
        <x:v>0.09930669860965935</x:v>
      </x:c>
      <x:c r="K54" s="89" t="n">
        <x:v>-1.7969166088313706</x:v>
      </x:c>
      <x:c r="L54" s="89" t="n">
        <x:v>-0.9494552936908036</x:v>
      </x:c>
      <x:c r="M54" s="89" t="n">
        <x:v>-0.9610227815832602</x:v>
      </x:c>
      <x:c r="N54" s="89" t="n">
        <x:v>0.18948718713290447</x:v>
      </x:c>
      <x:c r="O54" s="89" t="n">
        <x:v>1.4213722817044427</x:v>
      </x:c>
      <x:c r="P54" s="89" t="n">
        <x:v>-0.5596559069504039</x:v>
      </x:c>
      <x:c r="Q54" s="89" t="n">
        <x:v>-0.6018271891356264</x:v>
      </x:c>
      <x:c r="R54" s="89" t="n">
        <x:v>-0.7330934966786629</x:v>
      </x:c>
    </x:row>
    <x:row r="55">
      <x:c r="A55" s="87" t="n">
        <x:v>1</x:v>
      </x:c>
      <x:c r="B55" s="89" t="n">
        <x:v>1.155922955652855</x:v>
      </x:c>
      <x:c r="C55" s="89" t="n">
        <x:v>2.638677781961711</x:v>
      </x:c>
      <x:c r="D55" s="89" t="n">
        <x:v>-0.5284669437484482</x:v>
      </x:c>
      <x:c r="E55" s="89" t="n">
        <x:v>2.225102601401737</x:v>
      </x:c>
      <x:c r="F55" s="89" t="n">
        <x:v>1.8689879313730984</x:v>
      </x:c>
      <x:c r="G55" s="89" t="n">
        <x:v>0.7805966310742534</x:v>
      </x:c>
      <x:c r="H55" s="89" t="n">
        <x:v>-0.35242429296489064</x:v>
      </x:c>
      <x:c r="I55" s="89" t="n">
        <x:v>1.2796209619286643</x:v>
      </x:c>
      <x:c r="J55" s="89" t="n">
        <x:v>2.22644585809023</x:v>
      </x:c>
      <x:c r="K55" s="89" t="n">
        <x:v>-1.4787790380713375</x:v>
      </x:c>
      <x:c r="L55" s="89" t="n">
        <x:v>0.7151757070351081</x:v>
      </x:c>
      <x:c r="M55" s="89" t="n">
        <x:v>0.7369966310742484</x:v>
      </x:c>
      <x:c r="N55" s="89" t="n">
        <x:v>-0.7187120686269068</x:v>
      </x:c>
      <x:c r="O55" s="89" t="n">
        <x:v>-0.6530973985982627</x:v>
      </x:c>
      <x:c r="P55" s="89" t="n">
        <x:v>-2.684066943748448</x:v>
      </x:c>
      <x:c r="Q55" s="89" t="n">
        <x:v>-1.7698222180382928</x:v>
      </x:c>
      <x:c r="R55" s="89" t="n">
        <x:v>-2.802977044347145</x:v>
      </x:c>
    </x:row>
    <x:row r="56">
      <x:c r="A56" s="87" t="n">
        <x:v>0.75</x:v>
      </x:c>
      <x:c r="B56" s="89" t="n">
        <x:v>0.8994552831209788</x:v>
      </x:c>
      <x:c r="C56" s="89" t="n">
        <x:v>0.5881802581869522</x:v>
      </x:c>
      <x:c r="D56" s="89" t="n">
        <x:v>1.3279175669070469</x:v>
      </x:c>
      <x:c r="E56" s="89" t="n">
        <x:v>0.7605322730332702</x:v>
      </x:c>
      <x:c r="F56" s="89" t="n">
        <x:v>0.6532660841278997</x:v>
      </x:c>
      <x:c r="G56" s="89" t="n">
        <x:v>0.49252565617539545</x:v>
      </x:c>
      <x:c r="H56" s="89" t="n">
        <x:v>0.9789057951919737</x:v>
      </x:c>
      <x:c r="I56" s="89" t="n">
        <x:v>-2.2389674180622414</x:v>
      </x:c>
      <x:c r="J56" s="89" t="n">
        <x:v>-2.2873870673584022</x:v>
      </x:c>
      <x:c r="K56" s="89" t="n">
        <x:v>0.6102325819377583</x:v>
      </x:c>
      <x:c r="L56" s="89" t="n">
        <x:v>0.7096057951919725</x:v>
      </x:c>
      <x:c r="M56" s="89" t="n">
        <x:v>1.645125656175395</x:v>
      </x:c>
      <x:c r="N56" s="89" t="n">
        <x:v>-0.49183391587210323</x:v>
      </x:c>
      <x:c r="O56" s="89" t="n">
        <x:v>0.42613227303326795</x:v>
      </x:c>
      <x:c r="P56" s="89" t="n">
        <x:v>1.3430175669070437</x:v>
      </x:c>
      <x:c r="Q56" s="89" t="n">
        <x:v>-5.998619741813048</x:v>
      </x:c>
      <x:c r="R56" s="89" t="n">
        <x:v>-0.3137447168790217</x:v>
      </x:c>
    </x:row>
    <x:row r="57">
      <x:c r="A57" s="87" t="n">
        <x:v>0.5</x:v>
      </x:c>
      <x:c r="B57" s="89" t="n">
        <x:v>0.649209121170486</x:v>
      </x:c>
      <x:c r="C57" s="89" t="n">
        <x:v>1.0854268516221595</x:v>
      </x:c>
      <x:c r="D57" s="89" t="n">
        <x:v>-1.4617839455784711</x:v>
      </x:c>
      <x:c r="E57" s="89" t="n">
        <x:v>2.3205113436188682</x:v>
      </x:c>
      <x:c r="F57" s="89" t="n">
        <x:v>-1.5505784544915109</x:v>
      </x:c>
      <x:c r="G57" s="89" t="n">
        <x:v>-2.895190771061827</x:v>
      </x:c>
      <x:c r="H57" s="89" t="n">
        <x:v>2.098266950926149</x:v>
      </x:c>
      <x:c r="I57" s="89" t="n">
        <x:v>-0.6710947731707968</x:v>
      </x:c>
      <x:c r="J57" s="89" t="n">
        <x:v>0.029091928710641923</x:v>
      </x:c>
      <x:c r="K57" s="89" t="n">
        <x:v>2.799605226829204</x:v>
      </x:c>
      <x:c r="L57" s="89" t="n">
        <x:v>1.9300669509261503</x:v>
      </x:c>
      <x:c r="M57" s="89" t="n">
        <x:v>1.0077092289381717</x:v>
      </x:c>
      <x:c r="N57" s="89" t="n">
        <x:v>1.8446215455084847</x:v>
      </x:c>
      <x:c r="O57" s="89" t="n">
        <x:v>-1.311588656381133</x:v>
      </x:c>
      <x:c r="P57" s="89" t="n">
        <x:v>1.5676160544215207</x:v>
      </x:c>
      <x:c r="Q57" s="89" t="n">
        <x:v>2.4363268516221552</x:v>
      </x:c>
      <x:c r="R57" s="89" t="n">
        <x:v>1.780109121170483</x:v>
      </x:c>
    </x:row>
    <x:row r="58">
      <x:c r="A58" s="87" t="n">
        <x:v>0.25</x:v>
      </x:c>
      <x:c r="B58" s="89" t="n">
        <x:v>2.9090940769142293</x:v>
      </x:c>
      <x:c r="C58" s="89" t="n">
        <x:v>-1.9517198325597818</x:v>
      </x:c>
      <x:c r="D58" s="89" t="n">
        <x:v>1.3030112166596624</x:v>
      </x:c>
      <x:c r="E58" s="89" t="n">
        <x:v>1.207850161050679</x:v>
      </x:c>
      <x:c r="F58" s="89" t="n">
        <x:v>-1.3480967887800652</x:v>
      </x:c>
      <x:c r="G58" s="89" t="n">
        <x:v>3.1129483152137</x:v>
      </x:c>
      <x:c r="H58" s="89" t="n">
        <x:v>-1.0826312733756431</x:v>
      </x:c>
      <x:c r="I58" s="89" t="n">
        <x:v>0.5692139812195585</x:v>
      </x:c>
      <x:c r="J58" s="89" t="n">
        <x:v>2.8227050573012065</x:v>
      </x:c>
      <x:c r="K58" s="89" t="n">
        <x:v>0.6055139812195591</x:v>
      </x:c>
      <x:c r="L58" s="89" t="n">
        <x:v>0.7758687266243562</x:v>
      </x:c>
      <x:c r="M58" s="89" t="n">
        <x:v>0.5650483152136978</x:v>
      </x:c>
      <x:c r="N58" s="89" t="n">
        <x:v>-3.1259967887800713</x:v>
      </x:c>
      <x:c r="O58" s="89" t="n">
        <x:v>-0.7639498389493262</x:v>
      </x:c>
      <x:c r="P58" s="89" t="n">
        <x:v>-2.7227887833403415</x:v>
      </x:c>
      <x:c r="Q58" s="89" t="n">
        <x:v>1.7829801674402077</x:v>
      </x:c>
      <x:c r="R58" s="89" t="n">
        <x:v>-1.8135059230857706</x:v>
      </x:c>
    </x:row>
    <x:row r="59">
      <x:c r="A59" s="87" t="n">
        <x:v>0</x:v>
      </x:c>
      <x:c r="B59" s="89" t="n">
        <x:v>2.3065978824884326</x:v>
      </x:c>
      <x:c r="C59" s="89" t="n">
        <x:v>4.102575114414712</x:v>
      </x:c>
      <x:c r="D59" s="89" t="n">
        <x:v>-1.4860673699305238</x:v>
      </x:c>
      <x:c r="E59" s="89" t="n">
        <x:v>-3.355084549828554</x:v>
      </x:c>
      <x:c r="F59" s="89" t="n">
        <x:v>1.6633356991868595</x:v>
      </x:c>
      <x:c r="G59" s="89" t="n">
        <x:v>-0.9399057901622072</x:v>
      </x:c>
      <x:c r="H59" s="89" t="n">
        <x:v>0.14992377823064018</x:v>
      </x:c>
      <x:c r="I59" s="89" t="n">
        <x:v>0.20144932957545159</x:v>
      </x:c>
      <x:c r="J59" s="89" t="n">
        <x:v>-0.45737820481568114</x:v>
      </x:c>
      <x:c r="K59" s="89" t="n">
        <x:v>0.9510493295754525</x:v>
      </x:c>
      <x:c r="L59" s="89" t="n">
        <x:v>1.0377237782306405</x:v>
      </x:c>
      <x:c r="M59" s="89" t="n">
        <x:v>0.4770942098377926</x:v>
      </x:c>
      <x:c r="N59" s="89" t="n">
        <x:v>0.045235699186847</x:v>
      </x:c>
      <x:c r="O59" s="89" t="n">
        <x:v>0.375915450171437</x:v>
      </x:c>
      <x:c r="P59" s="89" t="n">
        <x:v>-1.9436673699305231</x:v>
      </x:c>
      <x:c r="Q59" s="89" t="n">
        <x:v>-0.4063248855852848</x:v>
      </x:c>
      <x:c r="R59" s="89" t="n">
        <x:v>-0.1611021175115681</x:v>
      </x:c>
    </x:row>
    <x:row r="60">
      <x:c r="A60" s="87" t="n">
        <x:v>-0.25</x:v>
      </x:c>
      <x:c r="B60" s="89" t="n">
        <x:v>5.085094076914224</x:v>
      </x:c>
      <x:c r="C60" s="89" t="n">
        <x:v>-0.4497198325597864</x:v>
      </x:c>
      <x:c r="D60" s="89" t="n">
        <x:v>-2.3310887833403413</x:v>
      </x:c>
      <x:c r="E60" s="89" t="n">
        <x:v>1.7769501610506815</x:v>
      </x:c>
      <x:c r="F60" s="89" t="n">
        <x:v>-1.156796788780067</x:v>
      </x:c>
      <x:c r="G60" s="89" t="n">
        <x:v>-2.1094516847863005</x:v>
      </x:c>
      <x:c r="H60" s="89" t="n">
        <x:v>-0.8538312733756435</x:v>
      </x:c>
      <x:c r="I60" s="89" t="n">
        <x:v>0.0009139812195613217</x:v>
      </x:c>
      <x:c r="J60" s="89" t="n">
        <x:v>1.9492050573012065</x:v>
      </x:c>
      <x:c r="K60" s="89" t="n">
        <x:v>0.5241139812195605</x:v>
      </x:c>
      <x:c r="L60" s="89" t="n">
        <x:v>1.839168726624358</x:v>
      </x:c>
      <x:c r="M60" s="89" t="n">
        <x:v>1.2194483152136968</x:v>
      </x:c>
      <x:c r="N60" s="89" t="n">
        <x:v>1.8508032112199295</x:v>
      </x:c>
      <x:c r="O60" s="89" t="n">
        <x:v>-0.6222498389493261</x:v>
      </x:c>
      <x:c r="P60" s="89" t="n">
        <x:v>-0.2885887833403409</x:v>
      </x:c>
      <x:c r="Q60" s="89" t="n">
        <x:v>2.95728016744021</x:v>
      </x:c>
      <x:c r="R60" s="89" t="n">
        <x:v>1.6745940769142251</x:v>
      </x:c>
    </x:row>
    <x:row r="61">
      <x:c r="A61" s="87" t="n">
        <x:v>-0.5</x:v>
      </x:c>
      <x:c r="B61" s="89" t="n">
        <x:v>2.5140091211704814</x:v>
      </x:c>
      <x:c r="C61" s="89" t="n">
        <x:v>-0.3215731483778441</x:v>
      </x:c>
      <x:c r="D61" s="89" t="n">
        <x:v>3.223416054421527</x:v>
      </x:c>
      <x:c r="E61" s="89" t="n">
        <x:v>0.7856113436188679</x:v>
      </x:c>
      <x:c r="F61" s="89" t="n">
        <x:v>0.33982154550848875</x:v>
      </x:c>
      <x:c r="G61" s="89" t="n">
        <x:v>1.2111092289381702</x:v>
      </x:c>
      <x:c r="H61" s="89" t="n">
        <x:v>1.1198669509261485</x:v>
      </x:c>
      <x:c r="I61" s="89" t="n">
        <x:v>2.069405226829204</x:v>
      </x:c>
      <x:c r="J61" s="89" t="n">
        <x:v>-0.7742080712893582</x:v>
      </x:c>
      <x:c r="K61" s="89" t="n">
        <x:v>-2.9528947731707973</x:v>
      </x:c>
      <x:c r="L61" s="89" t="n">
        <x:v>0.6010669509261497</x:v>
      </x:c>
      <x:c r="M61" s="89" t="n">
        <x:v>-0.5133907710618288</x:v>
      </x:c>
      <x:c r="N61" s="89" t="n">
        <x:v>0.06762154550848365</x:v>
      </x:c>
      <x:c r="O61" s="89" t="n">
        <x:v>3.6401113436188695</x:v>
      </x:c>
      <x:c r="P61" s="89" t="n">
        <x:v>-1.60278394557848</x:v>
      </x:c>
      <x:c r="Q61" s="89" t="n">
        <x:v>2.2619268516221567</x:v>
      </x:c>
      <x:c r="R61" s="89" t="n">
        <x:v>2.758709121170483</x:v>
      </x:c>
    </x:row>
    <x:row r="62">
      <x:c r="A62" s="87" t="n">
        <x:v>-0.75</x:v>
      </x:c>
      <x:c r="B62" s="89" t="n">
        <x:v>0.3442552831209795</x:v>
      </x:c>
      <x:c r="C62" s="89" t="n">
        <x:v>-3.8696197418130502</x:v>
      </x:c>
      <x:c r="D62" s="89" t="n">
        <x:v>-1.8502824330929535</x:v>
      </x:c>
      <x:c r="E62" s="89" t="n">
        <x:v>-1.8250677269667293</x:v>
      </x:c>
      <x:c r="F62" s="89" t="n">
        <x:v>0.7337660841279003</x:v>
      </x:c>
      <x:c r="G62" s="89" t="n">
        <x:v>-0.4732743438246061</x:v>
      </x:c>
      <x:c r="H62" s="89" t="n">
        <x:v>3.795905795191974</x:v>
      </x:c>
      <x:c r="I62" s="89" t="n">
        <x:v>0.37583258193776103</x:v>
      </x:c>
      <x:c r="J62" s="89" t="n">
        <x:v>-2.0628870673583997</x:v>
      </x:c>
      <x:c r="K62" s="89" t="n">
        <x:v>-3.0061674180622404</x:v>
      </x:c>
      <x:c r="L62" s="89" t="n">
        <x:v>-3.3517942048080265</x:v>
      </x:c>
      <x:c r="M62" s="89" t="n">
        <x:v>1.1691256561753924</x:v>
      </x:c>
      <x:c r="N62" s="89" t="n">
        <x:v>1.366966084127899</x:v>
      </x:c>
      <x:c r="O62" s="89" t="n">
        <x:v>-1.6397677269667312</x:v>
      </x:c>
      <x:c r="P62" s="89" t="n">
        <x:v>-0.36568243309294957</x:v>
      </x:c>
      <x:c r="Q62" s="89" t="n">
        <x:v>-1.4153197418130503</x:v>
      </x:c>
      <x:c r="R62" s="89" t="n">
        <x:v>-2.7537447168790194</x:v>
      </x:c>
    </x:row>
    <x:row r="63">
      <x:c r="A63" s="87" t="n">
        <x:v>-1</x:v>
      </x:c>
      <x:c r="B63" s="89" t="n">
        <x:v>-2.884777044347139</x:v>
      </x:c>
      <x:c r="C63" s="89" t="n">
        <x:v>0.24727778196171357</x:v>
      </x:c>
      <x:c r="D63" s="89" t="n">
        <x:v>-3.882066943748452</x:v>
      </x:c>
      <x:c r="E63" s="89" t="n">
        <x:v>-1.590697398598266</x:v>
      </x:c>
      <x:c r="F63" s="89" t="n">
        <x:v>4.458287931373093</x:v>
      </x:c>
      <x:c r="G63" s="89" t="n">
        <x:v>-1.2760033689257497</x:v>
      </x:c>
      <x:c r="H63" s="89" t="n">
        <x:v>2.058675707035107</x:v>
      </x:c>
      <x:c r="I63" s="89" t="n">
        <x:v>0.7617209619286633</x:v>
      </x:c>
      <x:c r="J63" s="89" t="n">
        <x:v>-0.3977541419097719</x:v>
      </x:c>
      <x:c r="K63" s="89" t="n">
        <x:v>-1.3502790380713385</x:v>
      </x:c>
      <x:c r="L63" s="89" t="n">
        <x:v>2.4071757070351083</x:v>
      </x:c>
      <x:c r="M63" s="89" t="n">
        <x:v>-0.4356033689257508</x:v>
      </x:c>
      <x:c r="N63" s="89" t="n">
        <x:v>3.0302879313730955</x:v>
      </x:c>
      <x:c r="O63" s="89" t="n">
        <x:v>-1.568897398598267</x:v>
      </x:c>
      <x:c r="P63" s="89" t="n">
        <x:v>0.07323305625154575</x:v>
      </x:c>
      <x:c r="Q63" s="89" t="n">
        <x:v>0.9962777819617017</x:v>
      </x:c>
      <x:c r="R63" s="89" t="n">
        <x:v>0.8293229556528559</x:v>
      </x:c>
    </x:row>
    <x:row r="64">
      <x:c r="A64" s="87" t="n">
        <x:v>-1.25</x:v>
      </x:c>
      <x:c r="B64" s="89" t="n">
        <x:v>0.4724065033213307</x:v>
      </x:c>
      <x:c r="C64" s="89" t="n">
        <x:v>-1.4479271891356262</x:v>
      </x:c>
      <x:c r="D64" s="89" t="n">
        <x:v>2.771244093049596</x:v>
      </x:c>
      <x:c r="E64" s="89" t="n">
        <x:v>-2.0617277182955576</x:v>
      </x:c>
      <x:c r="F64" s="89" t="n">
        <x:v>-3.1107128128670887</x:v>
      </x:c>
      <x:c r="G64" s="89" t="n">
        <x:v>-2.0745227815832585</x:v>
      </x:c>
      <x:c r="H64" s="89" t="n">
        <x:v>-2.102655293690802</x:v>
      </x:c>
      <x:c r="I64" s="89" t="n">
        <x:v>-2.0323166088313727</x:v>
      </x:c>
      <x:c r="J64" s="89" t="n">
        <x:v>-1.13119330139034</x:v>
      </x:c>
      <x:c r="K64" s="89" t="n">
        <x:v>2.658383391168627</x:v>
      </x:c>
      <x:c r="L64" s="89" t="n">
        <x:v>0.6282447063091965</x:v>
      </x:c>
      <x:c r="M64" s="89" t="n">
        <x:v>-0.5432227815832604</x:v>
      </x:c>
      <x:c r="N64" s="89" t="n">
        <x:v>0.042087187132906934</x:v>
      </x:c>
      <x:c r="O64" s="89" t="n">
        <x:v>-0.8472277182955565</x:v>
      </x:c>
      <x:c r="P64" s="89" t="n">
        <x:v>2.3446440930496024</x:v>
      </x:c>
      <x:c r="Q64" s="89" t="n">
        <x:v>-1.3298271891356208</x:v>
      </x:c>
      <x:c r="R64" s="89" t="n">
        <x:v>2.103006503321332</x:v>
      </x:c>
    </x:row>
    <x:row r="65">
      <x:c r="A65" s="87" t="n">
        <x:v>-1.5</x:v>
      </x:c>
      <x:c r="B65" s="89" t="n">
        <x:v>-1.4360446610712359</x:v>
      </x:c>
      <x:c r="C65" s="89" t="n">
        <x:v>2.175911693314397</x:v>
      </x:c>
      <x:c r="D65" s="89" t="n">
        <x:v>-0.6013069169262195</x:v>
      </x:c>
      <x:c r="E65" s="89" t="n">
        <x:v>-0.47459848584902176</x:v>
      </x:c>
      <x:c r="F65" s="89" t="n">
        <x:v>1.6336445472155319</x:v>
      </x:c>
      <x:c r="G65" s="89" t="n">
        <x:v>2.397817197317252</x:v>
      </x:c>
      <x:c r="H65" s="89" t="n">
        <x:v>0.9047336425566641</x:v>
      </x:c>
      <x:c r="I65" s="89" t="n">
        <x:v>-0.9067917762784958</x:v>
      </x:c>
      <x:c r="J65" s="89" t="n">
        <x:v>-1.3513536037877358</x:v>
      </x:c>
      <x:c r="K65" s="89" t="n">
        <x:v>3.4850082237215005</x:v>
      </x:c>
      <x:c r="L65" s="89" t="n">
        <x:v>1.6481336425566653</x:v>
      </x:c>
      <x:c r="M65" s="89" t="n">
        <x:v>1.9116171973172555</x:v>
      </x:c>
      <x:c r="N65" s="89" t="n">
        <x:v>5.13124454721553</x:v>
      </x:c>
      <x:c r="O65" s="89" t="n">
        <x:v>-1.5196984858490197</x:v>
      </x:c>
      <x:c r="P65" s="89" t="n">
        <x:v>6.0776930830737825</x:v>
      </x:c>
      <x:c r="Q65" s="89" t="n">
        <x:v>6.366711693314393</x:v>
      </x:c>
      <x:c r="R65" s="89" t="n">
        <x:v>4.003655338928766</x:v>
      </x:c>
    </x:row>
    <x:row r="66">
      <x:c r="A66" s="87" t="n">
        <x:v>-1.75</x:v>
      </x:c>
      <x:c r="B66" s="89" t="n">
        <x:v>3.3369808642757377</x:v>
      </x:c>
      <x:c r="C66" s="89" t="n">
        <x:v>2.6066976006531064</x:v>
      </x:c>
      <x:c r="D66" s="89" t="n">
        <x:v>3.78543434889459</x:v>
      </x:c>
      <x:c r="E66" s="89" t="n">
        <x:v>-1.999501135575258</x:v>
      </x:c>
      <x:c r="F66" s="89" t="n">
        <x:v>1.0685679513450168</x:v>
      </x:c>
      <x:c r="G66" s="89" t="n">
        <x:v>-2.080131501927731</x:v>
      </x:c>
      <x:c r="H66" s="89" t="n">
        <x:v>3.676638539883136</x:v>
      </x:c>
      <x:c r="I66" s="89" t="n">
        <x:v>-0.9019596031928074</x:v>
      </x:c>
      <x:c r="J66" s="89" t="n">
        <x:v>4.716750202750127</x:v>
      </x:c>
      <x:c r="K66" s="89" t="n">
        <x:v>2.1039403968071966</x:v>
      </x:c>
      <x:c r="L66" s="89" t="n">
        <x:v>0.3528385398831375</x:v>
      </x:c>
      <x:c r="M66" s="89" t="n">
        <x:v>0.16536849807226872</x:v>
      </x:c>
      <x:c r="N66" s="89" t="n">
        <x:v>2.1709679513450197</x:v>
      </x:c>
      <x:c r="O66" s="89" t="n">
        <x:v>-0.401501135575252</x:v>
      </x:c>
      <x:c r="P66" s="89" t="n">
        <x:v>-2.4846656511054093</x:v>
      </x:c>
      <x:c r="Q66" s="89" t="n">
        <x:v>0.38079760065311063</x:v>
      </x:c>
      <x:c r="R66" s="89" t="n">
        <x:v>1.974680864275733</x:v>
      </x:c>
    </x:row>
    <x:row r="67">
      <x:c r="A67" s="87" t="n">
        <x:v>-2</x:v>
      </x:c>
      <x:c r="B67" s="89" t="n">
        <x:v>-1.5982042352629122</x:v>
      </x:c>
      <x:c r="C67" s="89" t="n">
        <x:v>0.8883831587967705</x:v>
      </x:c>
      <x:c r="D67" s="89" t="n">
        <x:v>-4.100310151507571</x:v>
      </x:c>
      <x:c r="E67" s="89" t="n">
        <x:v>3.61451450486166</x:v>
      </x:c>
      <x:c r="F67" s="89" t="n">
        <x:v>1.8667102040409347</x:v>
      </x:c>
      <x:c r="G67" s="89" t="n">
        <x:v>-0.2512866906797129</x:v>
      </x:c>
      <x:c r="H67" s="89" t="n">
        <x:v>-0.26963034580880674</x:v>
      </x:c>
      <x:c r="I67" s="89" t="n">
        <x:v>1.1563434227640528</x:v>
      </x:c>
      <x:c r="J67" s="89" t="n">
        <x:v>-0.11865500695823528</x:v>
      </x:c>
      <x:c r="K67" s="89" t="n">
        <x:v>-0.0005565772359474863</x:v>
      </x:c>
      <x:c r="L67" s="89" t="n">
        <x:v>2.179269654191195</x:v>
      </x:c>
      <x:c r="M67" s="89" t="n">
        <x:v>1.7408133093202878</x:v>
      </x:c>
      <x:c r="N67" s="89" t="n">
        <x:v>0.43711020404093404</x:v>
      </x:c>
      <x:c r="O67" s="89" t="n">
        <x:v>0.410114504861653</x:v>
      </x:c>
      <x:c r="P67" s="89" t="n">
        <x:v>1.0090898484924296</x:v>
      </x:c>
      <x:c r="Q67" s="89" t="n">
        <x:v>-0.7979168412032394</x:v>
      </x:c>
      <x:c r="R67" s="89" t="n">
        <x:v>-0.28810423526291373</x:v>
      </x:c>
    </x:row>
  </x:sheetData>
  <x:mergeCells>
    <x:mergeCell ref="A1:R1"/>
    <x:mergeCell ref="A2:R2"/>
    <x:mergeCell ref="A23:R23"/>
    <x:mergeCell ref="A26:R26"/>
    <x:mergeCell ref="A48:R48"/>
  </x:mergeCells>
  <x:conditionalFormatting sqref="B5:R21">
    <x:cfRule type="colorScale" priority="1">
      <x:colorScale>
        <x:cfvo type="min"/>
        <x:cfvo type="percentile" val="50"/>
        <x:cfvo type="max"/>
        <x:color rgb="FF2F75B5"/>
        <x:color rgb="FFFFF2CC"/>
        <x:color rgb="FFC6E0B4"/>
      </x:colorScale>
    </x:cfRule>
  </x:conditionalFormatting>
  <x:conditionalFormatting sqref="B29:R45">
    <x:cfRule type="colorScale" priority="2">
      <x:colorScale>
        <x:cfvo type="min"/>
        <x:cfvo type="percentile" val="50"/>
        <x:cfvo type="max"/>
        <x:color rgb="FF2F75B5"/>
        <x:color rgb="FFFFF2CC"/>
        <x:color rgb="FFC6E0B4"/>
      </x:colorScale>
    </x:cfRule>
  </x:conditionalFormatting>
  <x:conditionalFormatting sqref="B51:R67">
    <x:cfRule type="colorScale" priority="3">
      <x:colorScale>
        <x:cfvo type="min"/>
        <x:cfvo type="num" val="0"/>
        <x:cfvo type="max"/>
        <x:color rgb="FF5B9BD5"/>
        <x:color rgb="FFFFFFFF"/>
        <x:color rgb="FFF8696B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4" hidden="0" customWidth="1"/>
    <x:col min="3" max="3" width="14" hidden="0" customWidth="1"/>
    <x:col min="4" max="4" width="22" hidden="0" customWidth="1"/>
    <x:col min="5" max="5" width="10" hidden="0" customWidth="1"/>
    <x:col min="6" max="6" width="10" hidden="0" customWidth="1"/>
    <x:col min="7" max="7" width="18" hidden="0" customWidth="1"/>
  </x:cols>
  <x:sheetData>
    <x:row r="1">
      <x:c r="A1" s="92" t="str">
        <x:v>DADOS BRUTOS REAIS — ORDEM DE AQUISIÇÃO</x:v>
      </x:c>
      <x:c r="B1" s="92"/>
      <x:c r="C1" s="92"/>
      <x:c r="D1" s="92"/>
      <x:c r="E1" s="92"/>
      <x:c r="F1" s="92"/>
      <x:c r="G1" s="92"/>
    </x:row>
    <x:row r="2">
      <x:c r="A2" s="95" t="str">
        <x:v>Uma leitura por ponto; percurso serpentina; nenhuma suavização, exclusão ou correção aplicada. R_ref = 44,1 Ω.</x:v>
      </x:c>
      <x:c r="B2" s="95"/>
      <x:c r="C2" s="95"/>
      <x:c r="D2" s="95"/>
      <x:c r="E2" s="95"/>
      <x:c r="F2" s="95"/>
      <x:c r="G2" s="95"/>
    </x:row>
    <x:row r="4">
      <x:c r="A4" s="98" t="str">
        <x:v>Sequência</x:v>
      </x:c>
      <x:c r="B4" s="98" t="str">
        <x:v>Linha</x:v>
      </x:c>
      <x:c r="C4" s="98" t="str">
        <x:v>Posição na linha</x:v>
      </x:c>
      <x:c r="D4" s="98" t="str">
        <x:v>Sentido</x:v>
      </x:c>
      <x:c r="E4" s="98" t="str">
        <x:v>x (m)</x:v>
      </x:c>
      <x:c r="F4" s="98" t="str">
        <x:v>y (m)</x:v>
      </x:c>
      <x:c r="G4" s="98" t="str">
        <x:v>R_MTR bruto (Ω)</x:v>
      </x:c>
    </x:row>
    <x:row r="5">
      <x:c r="A5" s="40" t="n">
        <x:v>1</x:v>
      </x:c>
      <x:c r="B5" s="40" t="n">
        <x:v>1</x:v>
      </x:c>
      <x:c r="C5" s="40" t="n">
        <x:v>1</x:v>
      </x:c>
      <x:c r="D5" s="36" t="str">
        <x:v>esquerda → direita</x:v>
      </x:c>
      <x:c r="E5" s="41" t="n">
        <x:v>-0.8</x:v>
      </x:c>
      <x:c r="F5" s="41" t="n">
        <x:v>-2</x:v>
      </x:c>
      <x:c r="G5" s="99" t="n">
        <x:v>36.8171</x:v>
      </x:c>
    </x:row>
    <x:row r="6">
      <x:c r="A6" s="40" t="n">
        <x:v>2</x:v>
      </x:c>
      <x:c r="B6" s="40" t="n">
        <x:v>1</x:v>
      </x:c>
      <x:c r="C6" s="40" t="n">
        <x:v>2</x:v>
      </x:c>
      <x:c r="D6" s="36" t="str">
        <x:v>esquerda → direita</x:v>
      </x:c>
      <x:c r="E6" s="41" t="n">
        <x:v>-0.55</x:v>
      </x:c>
      <x:c r="F6" s="41" t="n">
        <x:v>-2</x:v>
      </x:c>
      <x:c r="G6" s="99" t="n">
        <x:v>38.9727</x:v>
      </x:c>
    </x:row>
    <x:row r="7">
      <x:c r="A7" s="40" t="n">
        <x:v>3</x:v>
      </x:c>
      <x:c r="B7" s="40" t="n">
        <x:v>1</x:v>
      </x:c>
      <x:c r="C7" s="40" t="n">
        <x:v>3</x:v>
      </x:c>
      <x:c r="D7" s="36" t="str">
        <x:v>esquerda → direita</x:v>
      </x:c>
      <x:c r="E7" s="41" t="n">
        <x:v>-0.30000000000000004</x:v>
      </x:c>
      <x:c r="F7" s="41" t="n">
        <x:v>-2</x:v>
      </x:c>
      <x:c r="G7" s="99" t="n">
        <x:v>33.6549</x:v>
      </x:c>
    </x:row>
    <x:row r="8">
      <x:c r="A8" s="40" t="n">
        <x:v>4</x:v>
      </x:c>
      <x:c r="B8" s="40" t="n">
        <x:v>1</x:v>
      </x:c>
      <x:c r="C8" s="40" t="n">
        <x:v>4</x:v>
      </x:c>
      <x:c r="D8" s="36" t="str">
        <x:v>esquerda → direita</x:v>
      </x:c>
      <x:c r="E8" s="41" t="n">
        <x:v>-0.050000000000000044</x:v>
      </x:c>
      <x:c r="F8" s="41" t="n">
        <x:v>-2</x:v>
      </x:c>
      <x:c r="G8" s="99" t="n">
        <x:v>41.0553</x:v>
      </x:c>
    </x:row>
    <x:row r="9">
      <x:c r="A9" s="40" t="n">
        <x:v>5</x:v>
      </x:c>
      <x:c r="B9" s="40" t="n">
        <x:v>1</x:v>
      </x:c>
      <x:c r="C9" s="40" t="n">
        <x:v>5</x:v>
      </x:c>
      <x:c r="D9" s="36" t="str">
        <x:v>esquerda → direita</x:v>
      </x:c>
      <x:c r="E9" s="41" t="n">
        <x:v>0.19999999999999996</x:v>
      </x:c>
      <x:c r="F9" s="41" t="n">
        <x:v>-2</x:v>
      </x:c>
      <x:c r="G9" s="99" t="n">
        <x:v>39.0225</x:v>
      </x:c>
    </x:row>
    <x:row r="10">
      <x:c r="A10" s="40" t="n">
        <x:v>6</x:v>
      </x:c>
      <x:c r="B10" s="40" t="n">
        <x:v>1</x:v>
      </x:c>
      <x:c r="C10" s="40" t="n">
        <x:v>6</x:v>
      </x:c>
      <x:c r="D10" s="36" t="str">
        <x:v>esquerda → direita</x:v>
      </x:c>
      <x:c r="E10" s="41" t="n">
        <x:v>0.44999999999999996</x:v>
      </x:c>
      <x:c r="F10" s="41" t="n">
        <x:v>-2</x:v>
      </x:c>
      <x:c r="G10" s="99" t="n">
        <x:v>36.664</x:v>
      </x:c>
    </x:row>
    <x:row r="11">
      <x:c r="A11" s="40" t="n">
        <x:v>7</x:v>
      </x:c>
      <x:c r="B11" s="40" t="n">
        <x:v>1</x:v>
      </x:c>
      <x:c r="C11" s="40" t="n">
        <x:v>7</x:v>
      </x:c>
      <x:c r="D11" s="36" t="str">
        <x:v>esquerda → direita</x:v>
      </x:c>
      <x:c r="E11" s="41" t="n">
        <x:v>0.7</x:v>
      </x:c>
      <x:c r="F11" s="41" t="n">
        <x:v>-2</x:v>
      </x:c>
      <x:c r="G11" s="99" t="n">
        <x:v>36.4632</x:v>
      </x:c>
    </x:row>
    <x:row r="12">
      <x:c r="A12" s="40" t="n">
        <x:v>8</x:v>
      </x:c>
      <x:c r="B12" s="40" t="n">
        <x:v>1</x:v>
      </x:c>
      <x:c r="C12" s="40" t="n">
        <x:v>8</x:v>
      </x:c>
      <x:c r="D12" s="36" t="str">
        <x:v>esquerda → direita</x:v>
      </x:c>
      <x:c r="E12" s="41" t="n">
        <x:v>0.95</x:v>
      </x:c>
      <x:c r="F12" s="41" t="n">
        <x:v>-2</x:v>
      </x:c>
      <x:c r="G12" s="99" t="n">
        <x:v>37.7753</x:v>
      </x:c>
    </x:row>
    <x:row r="13">
      <x:c r="A13" s="40" t="n">
        <x:v>9</x:v>
      </x:c>
      <x:c r="B13" s="40" t="n">
        <x:v>1</x:v>
      </x:c>
      <x:c r="C13" s="40" t="n">
        <x:v>9</x:v>
      </x:c>
      <x:c r="D13" s="36" t="str">
        <x:v>esquerda → direita</x:v>
      </x:c>
      <x:c r="E13" s="41" t="n">
        <x:v>1.2</x:v>
      </x:c>
      <x:c r="F13" s="41" t="n">
        <x:v>-2</x:v>
      </x:c>
      <x:c r="G13" s="99" t="n">
        <x:v>36.4616</x:v>
      </x:c>
    </x:row>
    <x:row r="14">
      <x:c r="A14" s="40" t="n">
        <x:v>10</x:v>
      </x:c>
      <x:c r="B14" s="40" t="n">
        <x:v>1</x:v>
      </x:c>
      <x:c r="C14" s="40" t="n">
        <x:v>10</x:v>
      </x:c>
      <x:c r="D14" s="36" t="str">
        <x:v>esquerda → direita</x:v>
      </x:c>
      <x:c r="E14" s="41" t="n">
        <x:v>1.45</x:v>
      </x:c>
      <x:c r="F14" s="41" t="n">
        <x:v>-2</x:v>
      </x:c>
      <x:c r="G14" s="99" t="n">
        <x:v>36.6184</x:v>
      </x:c>
    </x:row>
    <x:row r="15">
      <x:c r="A15" s="40" t="n">
        <x:v>11</x:v>
      </x:c>
      <x:c r="B15" s="40" t="n">
        <x:v>1</x:v>
      </x:c>
      <x:c r="C15" s="40" t="n">
        <x:v>11</x:v>
      </x:c>
      <x:c r="D15" s="36" t="str">
        <x:v>esquerda → direita</x:v>
      </x:c>
      <x:c r="E15" s="41" t="n">
        <x:v>1.7</x:v>
      </x:c>
      <x:c r="F15" s="41" t="n">
        <x:v>-2</x:v>
      </x:c>
      <x:c r="G15" s="99" t="n">
        <x:v>38.9121</x:v>
      </x:c>
    </x:row>
    <x:row r="16">
      <x:c r="A16" s="40" t="n">
        <x:v>12</x:v>
      </x:c>
      <x:c r="B16" s="40" t="n">
        <x:v>1</x:v>
      </x:c>
      <x:c r="C16" s="40" t="n">
        <x:v>12</x:v>
      </x:c>
      <x:c r="D16" s="36" t="str">
        <x:v>esquerda → direita</x:v>
      </x:c>
      <x:c r="E16" s="41" t="n">
        <x:v>1.95</x:v>
      </x:c>
      <x:c r="F16" s="41" t="n">
        <x:v>-2</x:v>
      </x:c>
      <x:c r="G16" s="99" t="n">
        <x:v>38.6561</x:v>
      </x:c>
    </x:row>
    <x:row r="17">
      <x:c r="A17" s="40" t="n">
        <x:v>13</x:v>
      </x:c>
      <x:c r="B17" s="40" t="n">
        <x:v>1</x:v>
      </x:c>
      <x:c r="C17" s="40" t="n">
        <x:v>13</x:v>
      </x:c>
      <x:c r="D17" s="36" t="str">
        <x:v>esquerda → direita</x:v>
      </x:c>
      <x:c r="E17" s="41" t="n">
        <x:v>2.2</x:v>
      </x:c>
      <x:c r="F17" s="41" t="n">
        <x:v>-2</x:v>
      </x:c>
      <x:c r="G17" s="99" t="n">
        <x:v>37.5929</x:v>
      </x:c>
    </x:row>
    <x:row r="18">
      <x:c r="A18" s="40" t="n">
        <x:v>14</x:v>
      </x:c>
      <x:c r="B18" s="40" t="n">
        <x:v>1</x:v>
      </x:c>
      <x:c r="C18" s="40" t="n">
        <x:v>14</x:v>
      </x:c>
      <x:c r="D18" s="36" t="str">
        <x:v>esquerda → direita</x:v>
      </x:c>
      <x:c r="E18" s="41" t="n">
        <x:v>2.45</x:v>
      </x:c>
      <x:c r="F18" s="41" t="n">
        <x:v>-2</x:v>
      </x:c>
      <x:c r="G18" s="99" t="n">
        <x:v>37.8509</x:v>
      </x:c>
    </x:row>
    <x:row r="19">
      <x:c r="A19" s="40" t="n">
        <x:v>15</x:v>
      </x:c>
      <x:c r="B19" s="40" t="n">
        <x:v>1</x:v>
      </x:c>
      <x:c r="C19" s="40" t="n">
        <x:v>15</x:v>
      </x:c>
      <x:c r="D19" s="36" t="str">
        <x:v>esquerda → direita</x:v>
      </x:c>
      <x:c r="E19" s="41" t="n">
        <x:v>2.7</x:v>
      </x:c>
      <x:c r="F19" s="41" t="n">
        <x:v>-2</x:v>
      </x:c>
      <x:c r="G19" s="99" t="n">
        <x:v>38.7643</x:v>
      </x:c>
    </x:row>
    <x:row r="20">
      <x:c r="A20" s="40" t="n">
        <x:v>16</x:v>
      </x:c>
      <x:c r="B20" s="40" t="n">
        <x:v>1</x:v>
      </x:c>
      <x:c r="C20" s="40" t="n">
        <x:v>16</x:v>
      </x:c>
      <x:c r="D20" s="36" t="str">
        <x:v>esquerda → direita</x:v>
      </x:c>
      <x:c r="E20" s="41" t="n">
        <x:v>2.95</x:v>
      </x:c>
      <x:c r="F20" s="41" t="n">
        <x:v>-2</x:v>
      </x:c>
      <x:c r="G20" s="99" t="n">
        <x:v>37.2864</x:v>
      </x:c>
    </x:row>
    <x:row r="21">
      <x:c r="A21" s="40" t="n">
        <x:v>17</x:v>
      </x:c>
      <x:c r="B21" s="40" t="n">
        <x:v>1</x:v>
      </x:c>
      <x:c r="C21" s="40" t="n">
        <x:v>17</x:v>
      </x:c>
      <x:c r="D21" s="36" t="str">
        <x:v>esquerda → direita</x:v>
      </x:c>
      <x:c r="E21" s="41" t="n">
        <x:v>3.2</x:v>
      </x:c>
      <x:c r="F21" s="41" t="n">
        <x:v>-2</x:v>
      </x:c>
      <x:c r="G21" s="99" t="n">
        <x:v>38.1272</x:v>
      </x:c>
    </x:row>
    <x:row r="22">
      <x:c r="A22" s="40" t="n">
        <x:v>18</x:v>
      </x:c>
      <x:c r="B22" s="40" t="n">
        <x:v>2</x:v>
      </x:c>
      <x:c r="C22" s="40" t="n">
        <x:v>1</x:v>
      </x:c>
      <x:c r="D22" s="36" t="str">
        <x:v>direita → esquerda</x:v>
      </x:c>
      <x:c r="E22" s="41" t="n">
        <x:v>3.2</x:v>
      </x:c>
      <x:c r="F22" s="41" t="n">
        <x:v>-1.75</x:v>
      </x:c>
      <x:c r="G22" s="99" t="n">
        <x:v>39.977</x:v>
      </x:c>
    </x:row>
    <x:row r="23">
      <x:c r="A23" s="40" t="n">
        <x:v>19</x:v>
      </x:c>
      <x:c r="B23" s="40" t="n">
        <x:v>2</x:v>
      </x:c>
      <x:c r="C23" s="40" t="n">
        <x:v>2</x:v>
      </x:c>
      <x:c r="D23" s="36" t="str">
        <x:v>direita → esquerda</x:v>
      </x:c>
      <x:c r="E23" s="41" t="n">
        <x:v>2.95</x:v>
      </x:c>
      <x:c r="F23" s="41" t="n">
        <x:v>-1.75</x:v>
      </x:c>
      <x:c r="G23" s="99" t="n">
        <x:v>37.9714</x:v>
      </x:c>
    </x:row>
    <x:row r="24">
      <x:c r="A24" s="40" t="n">
        <x:v>20</x:v>
      </x:c>
      <x:c r="B24" s="40" t="n">
        <x:v>2</x:v>
      </x:c>
      <x:c r="C24" s="40" t="n">
        <x:v>3</x:v>
      </x:c>
      <x:c r="D24" s="36" t="str">
        <x:v>direita → esquerda</x:v>
      </x:c>
      <x:c r="E24" s="41" t="n">
        <x:v>2.7</x:v>
      </x:c>
      <x:c r="F24" s="41" t="n">
        <x:v>-1.75</x:v>
      </x:c>
      <x:c r="G24" s="99" t="n">
        <x:v>34.6884</x:v>
      </x:c>
    </x:row>
    <x:row r="25">
      <x:c r="A25" s="40" t="n">
        <x:v>21</x:v>
      </x:c>
      <x:c r="B25" s="40" t="n">
        <x:v>2</x:v>
      </x:c>
      <x:c r="C25" s="40" t="n">
        <x:v>4</x:v>
      </x:c>
      <x:c r="D25" s="36" t="str">
        <x:v>direita → esquerda</x:v>
      </x:c>
      <x:c r="E25" s="41" t="n">
        <x:v>2.45</x:v>
      </x:c>
      <x:c r="F25" s="41" t="n">
        <x:v>-1.75</x:v>
      </x:c>
      <x:c r="G25" s="99" t="n">
        <x:v>36.3659</x:v>
      </x:c>
    </x:row>
    <x:row r="26">
      <x:c r="A26" s="40" t="n">
        <x:v>22</x:v>
      </x:c>
      <x:c r="B26" s="40" t="n">
        <x:v>2</x:v>
      </x:c>
      <x:c r="C26" s="40" t="n">
        <x:v>5</x:v>
      </x:c>
      <x:c r="D26" s="36" t="str">
        <x:v>direita → esquerda</x:v>
      </x:c>
      <x:c r="E26" s="41" t="n">
        <x:v>2.2</x:v>
      </x:c>
      <x:c r="F26" s="41" t="n">
        <x:v>-1.75</x:v>
      </x:c>
      <x:c r="G26" s="99" t="n">
        <x:v>38.566</x:v>
      </x:c>
    </x:row>
    <x:row r="27">
      <x:c r="A27" s="40" t="n">
        <x:v>23</x:v>
      </x:c>
      <x:c r="B27" s="40" t="n">
        <x:v>2</x:v>
      </x:c>
      <x:c r="C27" s="40" t="n">
        <x:v>6</x:v>
      </x:c>
      <x:c r="D27" s="36" t="str">
        <x:v>direita → esquerda</x:v>
      </x:c>
      <x:c r="E27" s="41" t="n">
        <x:v>1.95</x:v>
      </x:c>
      <x:c r="F27" s="41" t="n">
        <x:v>-1.75</x:v>
      </x:c>
      <x:c r="G27" s="99" t="n">
        <x:v>36.2436</x:v>
      </x:c>
    </x:row>
    <x:row r="28">
      <x:c r="A28" s="40" t="n">
        <x:v>24</x:v>
      </x:c>
      <x:c r="B28" s="40" t="n">
        <x:v>2</x:v>
      </x:c>
      <x:c r="C28" s="40" t="n">
        <x:v>7</x:v>
      </x:c>
      <x:c r="D28" s="36" t="str">
        <x:v>direita → esquerda</x:v>
      </x:c>
      <x:c r="E28" s="41" t="n">
        <x:v>1.7</x:v>
      </x:c>
      <x:c r="F28" s="41" t="n">
        <x:v>-1.75</x:v>
      </x:c>
      <x:c r="G28" s="99" t="n">
        <x:v>36.1897</x:v>
      </x:c>
    </x:row>
    <x:row r="29">
      <x:c r="A29" s="40" t="n">
        <x:v>25</x:v>
      </x:c>
      <x:c r="B29" s="40" t="n">
        <x:v>2</x:v>
      </x:c>
      <x:c r="C29" s="40" t="n">
        <x:v>8</x:v>
      </x:c>
      <x:c r="D29" s="36" t="str">
        <x:v>direita → esquerda</x:v>
      </x:c>
      <x:c r="E29" s="41" t="n">
        <x:v>1.45</x:v>
      </x:c>
      <x:c r="F29" s="41" t="n">
        <x:v>-1.75</x:v>
      </x:c>
      <x:c r="G29" s="99" t="n">
        <x:v>37.7899</x:v>
      </x:c>
    </x:row>
    <x:row r="30">
      <x:c r="A30" s="40" t="n">
        <x:v>26</x:v>
      </x:c>
      <x:c r="B30" s="40" t="n">
        <x:v>2</x:v>
      </x:c>
      <x:c r="C30" s="40" t="n">
        <x:v>9</x:v>
      </x:c>
      <x:c r="D30" s="36" t="str">
        <x:v>direita → esquerda</x:v>
      </x:c>
      <x:c r="E30" s="41" t="n">
        <x:v>1.2</x:v>
      </x:c>
      <x:c r="F30" s="41" t="n">
        <x:v>-1.75</x:v>
      </x:c>
      <x:c r="G30" s="99" t="n">
        <x:v>40.3514</x:v>
      </x:c>
    </x:row>
    <x:row r="31">
      <x:c r="A31" s="40" t="n">
        <x:v>27</x:v>
      </x:c>
      <x:c r="B31" s="40" t="n">
        <x:v>2</x:v>
      </x:c>
      <x:c r="C31" s="40" t="n">
        <x:v>10</x:v>
      </x:c>
      <x:c r="D31" s="36" t="str">
        <x:v>direita → esquerda</x:v>
      </x:c>
      <x:c r="E31" s="41" t="n">
        <x:v>0.95</x:v>
      </x:c>
      <x:c r="F31" s="41" t="n">
        <x:v>-1.75</x:v>
      </x:c>
      <x:c r="G31" s="99" t="n">
        <x:v>34.784</x:v>
      </x:c>
    </x:row>
    <x:row r="32">
      <x:c r="A32" s="40" t="n">
        <x:v>28</x:v>
      </x:c>
      <x:c r="B32" s="40" t="n">
        <x:v>2</x:v>
      </x:c>
      <x:c r="C32" s="40" t="n">
        <x:v>11</x:v>
      </x:c>
      <x:c r="D32" s="36" t="str">
        <x:v>direita → esquerda</x:v>
      </x:c>
      <x:c r="E32" s="41" t="n">
        <x:v>0.7</x:v>
      </x:c>
      <x:c r="F32" s="41" t="n">
        <x:v>-1.75</x:v>
      </x:c>
      <x:c r="G32" s="99" t="n">
        <x:v>39.5135</x:v>
      </x:c>
    </x:row>
    <x:row r="33">
      <x:c r="A33" s="40" t="n">
        <x:v>29</x:v>
      </x:c>
      <x:c r="B33" s="40" t="n">
        <x:v>2</x:v>
      </x:c>
      <x:c r="C33" s="40" t="n">
        <x:v>12</x:v>
      </x:c>
      <x:c r="D33" s="36" t="str">
        <x:v>direita → esquerda</x:v>
      </x:c>
      <x:c r="E33" s="41" t="n">
        <x:v>0.44999999999999996</x:v>
      </x:c>
      <x:c r="F33" s="41" t="n">
        <x:v>-1.75</x:v>
      </x:c>
      <x:c r="G33" s="99" t="n">
        <x:v>33.9981</x:v>
      </x:c>
    </x:row>
    <x:row r="34">
      <x:c r="A34" s="40" t="n">
        <x:v>30</x:v>
      </x:c>
      <x:c r="B34" s="40" t="n">
        <x:v>2</x:v>
      </x:c>
      <x:c r="C34" s="40" t="n">
        <x:v>13</x:v>
      </x:c>
      <x:c r="D34" s="36" t="str">
        <x:v>direita → esquerda</x:v>
      </x:c>
      <x:c r="E34" s="41" t="n">
        <x:v>0.19999999999999996</x:v>
      </x:c>
      <x:c r="F34" s="41" t="n">
        <x:v>-1.75</x:v>
      </x:c>
      <x:c r="G34" s="99" t="n">
        <x:v>37.4636</x:v>
      </x:c>
    </x:row>
    <x:row r="35">
      <x:c r="A35" s="40" t="n">
        <x:v>31</x:v>
      </x:c>
      <x:c r="B35" s="40" t="n">
        <x:v>2</x:v>
      </x:c>
      <x:c r="C35" s="40" t="n">
        <x:v>14</x:v>
      </x:c>
      <x:c r="D35" s="36" t="str">
        <x:v>direita → esquerda</x:v>
      </x:c>
      <x:c r="E35" s="41" t="n">
        <x:v>-0.050000000000000044</x:v>
      </x:c>
      <x:c r="F35" s="41" t="n">
        <x:v>-1.75</x:v>
      </x:c>
      <x:c r="G35" s="99" t="n">
        <x:v>34.7679</x:v>
      </x:c>
    </x:row>
    <x:row r="36">
      <x:c r="A36" s="40" t="n">
        <x:v>32</x:v>
      </x:c>
      <x:c r="B36" s="40" t="n">
        <x:v>2</x:v>
      </x:c>
      <x:c r="C36" s="40" t="n">
        <x:v>15</x:v>
      </x:c>
      <x:c r="D36" s="36" t="str">
        <x:v>direita → esquerda</x:v>
      </x:c>
      <x:c r="E36" s="41" t="n">
        <x:v>-0.30000000000000004</x:v>
      </x:c>
      <x:c r="F36" s="41" t="n">
        <x:v>-1.75</x:v>
      </x:c>
      <x:c r="G36" s="99" t="n">
        <x:v>40.9585</x:v>
      </x:c>
    </x:row>
    <x:row r="37">
      <x:c r="A37" s="40" t="n">
        <x:v>33</x:v>
      </x:c>
      <x:c r="B37" s="40" t="n">
        <x:v>2</x:v>
      </x:c>
      <x:c r="C37" s="40" t="n">
        <x:v>16</x:v>
      </x:c>
      <x:c r="D37" s="36" t="str">
        <x:v>direita → esquerda</x:v>
      </x:c>
      <x:c r="E37" s="41" t="n">
        <x:v>-0.55</x:v>
      </x:c>
      <x:c r="F37" s="41" t="n">
        <x:v>-1.75</x:v>
      </x:c>
      <x:c r="G37" s="99" t="n">
        <x:v>40.1973</x:v>
      </x:c>
    </x:row>
    <x:row r="38">
      <x:c r="A38" s="40" t="n">
        <x:v>34</x:v>
      </x:c>
      <x:c r="B38" s="40" t="n">
        <x:v>2</x:v>
      </x:c>
      <x:c r="C38" s="40" t="n">
        <x:v>17</x:v>
      </x:c>
      <x:c r="D38" s="36" t="str">
        <x:v>direita → esquerda</x:v>
      </x:c>
      <x:c r="E38" s="41" t="n">
        <x:v>-0.8</x:v>
      </x:c>
      <x:c r="F38" s="41" t="n">
        <x:v>-1.75</x:v>
      </x:c>
      <x:c r="G38" s="99" t="n">
        <x:v>41.3393</x:v>
      </x:c>
    </x:row>
    <x:row r="39">
      <x:c r="A39" s="40" t="n">
        <x:v>35</x:v>
      </x:c>
      <x:c r="B39" s="40" t="n">
        <x:v>3</x:v>
      </x:c>
      <x:c r="C39" s="40" t="n">
        <x:v>1</x:v>
      </x:c>
      <x:c r="D39" s="36" t="str">
        <x:v>esquerda → direita</x:v>
      </x:c>
      <x:c r="E39" s="41" t="n">
        <x:v>-0.8</x:v>
      </x:c>
      <x:c r="F39" s="41" t="n">
        <x:v>-1.5</x:v>
      </x:c>
      <x:c r="G39" s="99" t="n">
        <x:v>36.1113</x:v>
      </x:c>
    </x:row>
    <x:row r="40">
      <x:c r="A40" s="40" t="n">
        <x:v>36</x:v>
      </x:c>
      <x:c r="B40" s="40" t="n">
        <x:v>3</x:v>
      </x:c>
      <x:c r="C40" s="40" t="n">
        <x:v>2</x:v>
      </x:c>
      <x:c r="D40" s="36" t="str">
        <x:v>esquerda → direita</x:v>
      </x:c>
      <x:c r="E40" s="41" t="n">
        <x:v>-0.55</x:v>
      </x:c>
      <x:c r="F40" s="41" t="n">
        <x:v>-1.5</x:v>
      </x:c>
      <x:c r="G40" s="99" t="n">
        <x:v>39.2053</x:v>
      </x:c>
    </x:row>
    <x:row r="41">
      <x:c r="A41" s="40" t="n">
        <x:v>37</x:v>
      </x:c>
      <x:c r="B41" s="40" t="n">
        <x:v>3</x:v>
      </x:c>
      <x:c r="C41" s="40" t="n">
        <x:v>3</x:v>
      </x:c>
      <x:c r="D41" s="36" t="str">
        <x:v>esquerda → direita</x:v>
      </x:c>
      <x:c r="E41" s="41" t="n">
        <x:v>-0.30000000000000004</x:v>
      </x:c>
      <x:c r="F41" s="41" t="n">
        <x:v>-1.5</x:v>
      </x:c>
      <x:c r="G41" s="99" t="n">
        <x:v>35.8896</x:v>
      </x:c>
    </x:row>
    <x:row r="42">
      <x:c r="A42" s="40" t="n">
        <x:v>38</x:v>
      </x:c>
      <x:c r="B42" s="40" t="n">
        <x:v>3</x:v>
      </x:c>
      <x:c r="C42" s="40" t="n">
        <x:v>4</x:v>
      </x:c>
      <x:c r="D42" s="36" t="str">
        <x:v>esquerda → direita</x:v>
      </x:c>
      <x:c r="E42" s="41" t="n">
        <x:v>-0.050000000000000044</x:v>
      </x:c>
      <x:c r="F42" s="41" t="n">
        <x:v>-1.5</x:v>
      </x:c>
      <x:c r="G42" s="99" t="n">
        <x:v>35.4822</x:v>
      </x:c>
    </x:row>
    <x:row r="43">
      <x:c r="A43" s="40" t="n">
        <x:v>39</x:v>
      </x:c>
      <x:c r="B43" s="40" t="n">
        <x:v>3</x:v>
      </x:c>
      <x:c r="C43" s="40" t="n">
        <x:v>5</x:v>
      </x:c>
      <x:c r="D43" s="36" t="str">
        <x:v>esquerda → direita</x:v>
      </x:c>
      <x:c r="E43" s="41" t="n">
        <x:v>0.19999999999999996</x:v>
      </x:c>
      <x:c r="F43" s="41" t="n">
        <x:v>-1.5</x:v>
      </x:c>
      <x:c r="G43" s="99" t="n">
        <x:v>37.0931</x:v>
      </x:c>
    </x:row>
    <x:row r="44">
      <x:c r="A44" s="40" t="n">
        <x:v>40</x:v>
      </x:c>
      <x:c r="B44" s="40" t="n">
        <x:v>3</x:v>
      </x:c>
      <x:c r="C44" s="40" t="n">
        <x:v>6</x:v>
      </x:c>
      <x:c r="D44" s="36" t="str">
        <x:v>esquerda → direita</x:v>
      </x:c>
      <x:c r="E44" s="41" t="n">
        <x:v>0.44999999999999996</x:v>
      </x:c>
      <x:c r="F44" s="41" t="n">
        <x:v>-1.5</x:v>
      </x:c>
      <x:c r="G44" s="99" t="n">
        <x:v>37.431</x:v>
      </x:c>
    </x:row>
    <x:row r="45">
      <x:c r="A45" s="40" t="n">
        <x:v>41</x:v>
      </x:c>
      <x:c r="B45" s="40" t="n">
        <x:v>3</x:v>
      </x:c>
      <x:c r="C45" s="40" t="n">
        <x:v>7</x:v>
      </x:c>
      <x:c r="D45" s="36" t="str">
        <x:v>esquerda → direita</x:v>
      </x:c>
      <x:c r="E45" s="41" t="n">
        <x:v>0.7</x:v>
      </x:c>
      <x:c r="F45" s="41" t="n">
        <x:v>-1.5</x:v>
      </x:c>
      <x:c r="G45" s="99" t="n">
        <x:v>35.6125</x:v>
      </x:c>
    </x:row>
    <x:row r="46">
      <x:c r="A46" s="40" t="n">
        <x:v>42</x:v>
      </x:c>
      <x:c r="B46" s="40" t="n">
        <x:v>3</x:v>
      </x:c>
      <x:c r="C46" s="40" t="n">
        <x:v>8</x:v>
      </x:c>
      <x:c r="D46" s="36" t="str">
        <x:v>esquerda → direita</x:v>
      </x:c>
      <x:c r="E46" s="41" t="n">
        <x:v>0.95</x:v>
      </x:c>
      <x:c r="F46" s="41" t="n">
        <x:v>-1.5</x:v>
      </x:c>
      <x:c r="G46" s="99" t="n">
        <x:v>33.5977</x:v>
      </x:c>
    </x:row>
    <x:row r="47">
      <x:c r="A47" s="40" t="n">
        <x:v>43</x:v>
      </x:c>
      <x:c r="B47" s="40" t="n">
        <x:v>3</x:v>
      </x:c>
      <x:c r="C47" s="40" t="n">
        <x:v>9</x:v>
      </x:c>
      <x:c r="D47" s="36" t="str">
        <x:v>esquerda → direita</x:v>
      </x:c>
      <x:c r="E47" s="41" t="n">
        <x:v>1.2</x:v>
      </x:c>
      <x:c r="F47" s="41" t="n">
        <x:v>-1.5</x:v>
      </x:c>
      <x:c r="G47" s="99" t="n">
        <x:v>33.0841</x:v>
      </x:c>
    </x:row>
    <x:row r="48">
      <x:c r="A48" s="40" t="n">
        <x:v>44</x:v>
      </x:c>
      <x:c r="B48" s="40" t="n">
        <x:v>3</x:v>
      </x:c>
      <x:c r="C48" s="40" t="n">
        <x:v>10</x:v>
      </x:c>
      <x:c r="D48" s="36" t="str">
        <x:v>esquerda → direita</x:v>
      </x:c>
      <x:c r="E48" s="41" t="n">
        <x:v>1.45</x:v>
      </x:c>
      <x:c r="F48" s="41" t="n">
        <x:v>-1.5</x:v>
      </x:c>
      <x:c r="G48" s="99" t="n">
        <x:v>37.9895</x:v>
      </x:c>
    </x:row>
    <x:row r="49">
      <x:c r="A49" s="40" t="n">
        <x:v>45</x:v>
      </x:c>
      <x:c r="B49" s="40" t="n">
        <x:v>3</x:v>
      </x:c>
      <x:c r="C49" s="40" t="n">
        <x:v>11</x:v>
      </x:c>
      <x:c r="D49" s="36" t="str">
        <x:v>esquerda → direita</x:v>
      </x:c>
      <x:c r="E49" s="41" t="n">
        <x:v>1.7</x:v>
      </x:c>
      <x:c r="F49" s="41" t="n">
        <x:v>-1.5</x:v>
      </x:c>
      <x:c r="G49" s="99" t="n">
        <x:v>36.3559</x:v>
      </x:c>
    </x:row>
    <x:row r="50">
      <x:c r="A50" s="40" t="n">
        <x:v>46</x:v>
      </x:c>
      <x:c r="B50" s="40" t="n">
        <x:v>3</x:v>
      </x:c>
      <x:c r="C50" s="40" t="n">
        <x:v>12</x:v>
      </x:c>
      <x:c r="D50" s="36" t="str">
        <x:v>esquerda → direita</x:v>
      </x:c>
      <x:c r="E50" s="41" t="n">
        <x:v>1.95</x:v>
      </x:c>
      <x:c r="F50" s="41" t="n">
        <x:v>-1.5</x:v>
      </x:c>
      <x:c r="G50" s="99" t="n">
        <x:v>36.9448</x:v>
      </x:c>
    </x:row>
    <x:row r="51">
      <x:c r="A51" s="40" t="n">
        <x:v>47</x:v>
      </x:c>
      <x:c r="B51" s="40" t="n">
        <x:v>3</x:v>
      </x:c>
      <x:c r="C51" s="40" t="n">
        <x:v>13</x:v>
      </x:c>
      <x:c r="D51" s="36" t="str">
        <x:v>esquerda → direita</x:v>
      </x:c>
      <x:c r="E51" s="41" t="n">
        <x:v>2.2</x:v>
      </x:c>
      <x:c r="F51" s="41" t="n">
        <x:v>-1.5</x:v>
      </x:c>
      <x:c r="G51" s="99" t="n">
        <x:v>40.5907</x:v>
      </x:c>
    </x:row>
    <x:row r="52">
      <x:c r="A52" s="40" t="n">
        <x:v>48</x:v>
      </x:c>
      <x:c r="B52" s="40" t="n">
        <x:v>3</x:v>
      </x:c>
      <x:c r="C52" s="40" t="n">
        <x:v>14</x:v>
      </x:c>
      <x:c r="D52" s="36" t="str">
        <x:v>esquerda → direita</x:v>
      </x:c>
      <x:c r="E52" s="41" t="n">
        <x:v>2.45</x:v>
      </x:c>
      <x:c r="F52" s="41" t="n">
        <x:v>-1.5</x:v>
      </x:c>
      <x:c r="G52" s="99" t="n">
        <x:v>34.4371</x:v>
      </x:c>
    </x:row>
    <x:row r="53">
      <x:c r="A53" s="40" t="n">
        <x:v>49</x:v>
      </x:c>
      <x:c r="B53" s="40" t="n">
        <x:v>3</x:v>
      </x:c>
      <x:c r="C53" s="40" t="n">
        <x:v>15</x:v>
      </x:c>
      <x:c r="D53" s="36" t="str">
        <x:v>esquerda → direita</x:v>
      </x:c>
      <x:c r="E53" s="41" t="n">
        <x:v>2.7</x:v>
      </x:c>
      <x:c r="F53" s="41" t="n">
        <x:v>-1.5</x:v>
      </x:c>
      <x:c r="G53" s="99" t="n">
        <x:v>42.5686</x:v>
      </x:c>
    </x:row>
    <x:row r="54">
      <x:c r="A54" s="40" t="n">
        <x:v>50</x:v>
      </x:c>
      <x:c r="B54" s="40" t="n">
        <x:v>3</x:v>
      </x:c>
      <x:c r="C54" s="40" t="n">
        <x:v>16</x:v>
      </x:c>
      <x:c r="D54" s="36" t="str">
        <x:v>esquerda → direita</x:v>
      </x:c>
      <x:c r="E54" s="41" t="n">
        <x:v>2.95</x:v>
      </x:c>
      <x:c r="F54" s="41" t="n">
        <x:v>-1.5</x:v>
      </x:c>
      <x:c r="G54" s="99" t="n">
        <x:v>43.3961</x:v>
      </x:c>
    </x:row>
    <x:row r="55">
      <x:c r="A55" s="40" t="n">
        <x:v>51</x:v>
      </x:c>
      <x:c r="B55" s="40" t="n">
        <x:v>3</x:v>
      </x:c>
      <x:c r="C55" s="40" t="n">
        <x:v>17</x:v>
      </x:c>
      <x:c r="D55" s="36" t="str">
        <x:v>esquerda → direita</x:v>
      </x:c>
      <x:c r="E55" s="41" t="n">
        <x:v>3.2</x:v>
      </x:c>
      <x:c r="F55" s="41" t="n">
        <x:v>-1.5</x:v>
      </x:c>
      <x:c r="G55" s="99" t="n">
        <x:v>41.551</x:v>
      </x:c>
    </x:row>
    <x:row r="56">
      <x:c r="A56" s="40" t="n">
        <x:v>52</x:v>
      </x:c>
      <x:c r="B56" s="40" t="n">
        <x:v>4</x:v>
      </x:c>
      <x:c r="C56" s="40" t="n">
        <x:v>1</x:v>
      </x:c>
      <x:c r="D56" s="36" t="str">
        <x:v>direita → esquerda</x:v>
      </x:c>
      <x:c r="E56" s="41" t="n">
        <x:v>3.2</x:v>
      </x:c>
      <x:c r="F56" s="41" t="n">
        <x:v>-1.25</x:v>
      </x:c>
      <x:c r="G56" s="99" t="n">
        <x:v>39.1547</x:v>
      </x:c>
    </x:row>
    <x:row r="57">
      <x:c r="A57" s="40" t="n">
        <x:v>53</x:v>
      </x:c>
      <x:c r="B57" s="40" t="n">
        <x:v>4</x:v>
      </x:c>
      <x:c r="C57" s="40" t="n">
        <x:v>2</x:v>
      </x:c>
      <x:c r="D57" s="36" t="str">
        <x:v>direita → esquerda</x:v>
      </x:c>
      <x:c r="E57" s="41" t="n">
        <x:v>2.95</x:v>
      </x:c>
      <x:c r="F57" s="41" t="n">
        <x:v>-1.25</x:v>
      </x:c>
      <x:c r="G57" s="99" t="n">
        <x:v>35.0626</x:v>
      </x:c>
    </x:row>
    <x:row r="58">
      <x:c r="A58" s="40" t="n">
        <x:v>54</x:v>
      </x:c>
      <x:c r="B58" s="40" t="n">
        <x:v>4</x:v>
      </x:c>
      <x:c r="C58" s="40" t="n">
        <x:v>3</x:v>
      </x:c>
      <x:c r="D58" s="36" t="str">
        <x:v>direita → esquerda</x:v>
      </x:c>
      <x:c r="E58" s="41" t="n">
        <x:v>2.7</x:v>
      </x:c>
      <x:c r="F58" s="41" t="n">
        <x:v>-1.25</x:v>
      </x:c>
      <x:c r="G58" s="99" t="n">
        <x:v>38.029</x:v>
      </x:c>
    </x:row>
    <x:row r="59">
      <x:c r="A59" s="40" t="n">
        <x:v>55</x:v>
      </x:c>
      <x:c r="B59" s="40" t="n">
        <x:v>4</x:v>
      </x:c>
      <x:c r="C59" s="40" t="n">
        <x:v>4</x:v>
      </x:c>
      <x:c r="D59" s="36" t="str">
        <x:v>direita → esquerda</x:v>
      </x:c>
      <x:c r="E59" s="41" t="n">
        <x:v>2.45</x:v>
      </x:c>
      <x:c r="F59" s="41" t="n">
        <x:v>-1.25</x:v>
      </x:c>
      <x:c r="G59" s="99" t="n">
        <x:v>34.1158</x:v>
      </x:c>
    </x:row>
    <x:row r="60">
      <x:c r="A60" s="40" t="n">
        <x:v>56</x:v>
      </x:c>
      <x:c r="B60" s="40" t="n">
        <x:v>4</x:v>
      </x:c>
      <x:c r="C60" s="40" t="n">
        <x:v>5</x:v>
      </x:c>
      <x:c r="D60" s="36" t="str">
        <x:v>direita → esquerda</x:v>
      </x:c>
      <x:c r="E60" s="41" t="n">
        <x:v>2.2</x:v>
      </x:c>
      <x:c r="F60" s="41" t="n">
        <x:v>-1.25</x:v>
      </x:c>
      <x:c r="G60" s="99" t="n">
        <x:v>34.3224</x:v>
      </x:c>
    </x:row>
    <x:row r="61">
      <x:c r="A61" s="40" t="n">
        <x:v>57</x:v>
      </x:c>
      <x:c r="B61" s="40" t="n">
        <x:v>4</x:v>
      </x:c>
      <x:c r="C61" s="40" t="n">
        <x:v>6</x:v>
      </x:c>
      <x:c r="D61" s="36" t="str">
        <x:v>direita → esquerda</x:v>
      </x:c>
      <x:c r="E61" s="41" t="n">
        <x:v>1.95</x:v>
      </x:c>
      <x:c r="F61" s="41" t="n">
        <x:v>-1.25</x:v>
      </x:c>
      <x:c r="G61" s="99" t="n">
        <x:v>33.1491</x:v>
      </x:c>
    </x:row>
    <x:row r="62">
      <x:c r="A62" s="40" t="n">
        <x:v>58</x:v>
      </x:c>
      <x:c r="B62" s="40" t="n">
        <x:v>4</x:v>
      </x:c>
      <x:c r="C62" s="40" t="n">
        <x:v>7</x:v>
      </x:c>
      <x:c r="D62" s="36" t="str">
        <x:v>direita → esquerda</x:v>
      </x:c>
      <x:c r="E62" s="41" t="n">
        <x:v>1.7</x:v>
      </x:c>
      <x:c r="F62" s="41" t="n">
        <x:v>-1.25</x:v>
      </x:c>
      <x:c r="G62" s="99" t="n">
        <x:v>33.8732</x:v>
      </x:c>
    </x:row>
    <x:row r="63">
      <x:c r="A63" s="40" t="n">
        <x:v>59</x:v>
      </x:c>
      <x:c r="B63" s="40" t="n">
        <x:v>4</x:v>
      </x:c>
      <x:c r="C63" s="40" t="n">
        <x:v>8</x:v>
      </x:c>
      <x:c r="D63" s="36" t="str">
        <x:v>direita → esquerda</x:v>
      </x:c>
      <x:c r="E63" s="41" t="n">
        <x:v>1.45</x:v>
      </x:c>
      <x:c r="F63" s="41" t="n">
        <x:v>-1.25</x:v>
      </x:c>
      <x:c r="G63" s="99" t="n">
        <x:v>35.6256</x:v>
      </x:c>
    </x:row>
    <x:row r="64">
      <x:c r="A64" s="40" t="n">
        <x:v>60</x:v>
      </x:c>
      <x:c r="B64" s="40" t="n">
        <x:v>4</x:v>
      </x:c>
      <x:c r="C64" s="40" t="n">
        <x:v>9</x:v>
      </x:c>
      <x:c r="D64" s="36" t="str">
        <x:v>direita → esquerda</x:v>
      </x:c>
      <x:c r="E64" s="41" t="n">
        <x:v>1.2</x:v>
      </x:c>
      <x:c r="F64" s="41" t="n">
        <x:v>-1.25</x:v>
      </x:c>
      <x:c r="G64" s="99" t="n">
        <x:v>31.7421</x:v>
      </x:c>
    </x:row>
    <x:row r="65">
      <x:c r="A65" s="40" t="n">
        <x:v>61</x:v>
      </x:c>
      <x:c r="B65" s="40" t="n">
        <x:v>4</x:v>
      </x:c>
      <x:c r="C65" s="40" t="n">
        <x:v>10</x:v>
      </x:c>
      <x:c r="D65" s="36" t="str">
        <x:v>direita → esquerda</x:v>
      </x:c>
      <x:c r="E65" s="41" t="n">
        <x:v>0.95</x:v>
      </x:c>
      <x:c r="F65" s="41" t="n">
        <x:v>-1.25</x:v>
      </x:c>
      <x:c r="G65" s="99" t="n">
        <x:v>30.9349</x:v>
      </x:c>
    </x:row>
    <x:row r="66">
      <x:c r="A66" s="40" t="n">
        <x:v>62</x:v>
      </x:c>
      <x:c r="B66" s="40" t="n">
        <x:v>4</x:v>
      </x:c>
      <x:c r="C66" s="40" t="n">
        <x:v>11</x:v>
      </x:c>
      <x:c r="D66" s="36" t="str">
        <x:v>direita → esquerda</x:v>
      </x:c>
      <x:c r="E66" s="41" t="n">
        <x:v>0.7</x:v>
      </x:c>
      <x:c r="F66" s="41" t="n">
        <x:v>-1.25</x:v>
      </x:c>
      <x:c r="G66" s="99" t="n">
        <x:v>31.1423</x:v>
      </x:c>
    </x:row>
    <x:row r="67">
      <x:c r="A67" s="40" t="n">
        <x:v>63</x:v>
      </x:c>
      <x:c r="B67" s="40" t="n">
        <x:v>4</x:v>
      </x:c>
      <x:c r="C67" s="40" t="n">
        <x:v>12</x:v>
      </x:c>
      <x:c r="D67" s="36" t="str">
        <x:v>direita → esquerda</x:v>
      </x:c>
      <x:c r="E67" s="41" t="n">
        <x:v>0.44999999999999996</x:v>
      </x:c>
      <x:c r="F67" s="41" t="n">
        <x:v>-1.25</x:v>
      </x:c>
      <x:c r="G67" s="99" t="n">
        <x:v>31.6178</x:v>
      </x:c>
    </x:row>
    <x:row r="68">
      <x:c r="A68" s="40" t="n">
        <x:v>64</x:v>
      </x:c>
      <x:c r="B68" s="40" t="n">
        <x:v>4</x:v>
      </x:c>
      <x:c r="C68" s="40" t="n">
        <x:v>13</x:v>
      </x:c>
      <x:c r="D68" s="36" t="str">
        <x:v>direita → esquerda</x:v>
      </x:c>
      <x:c r="E68" s="41" t="n">
        <x:v>0.19999999999999996</x:v>
      </x:c>
      <x:c r="F68" s="41" t="n">
        <x:v>-1.25</x:v>
      </x:c>
      <x:c r="G68" s="99" t="n">
        <x:v>31.1696</x:v>
      </x:c>
    </x:row>
    <x:row r="69">
      <x:c r="A69" s="40" t="n">
        <x:v>65</x:v>
      </x:c>
      <x:c r="B69" s="40" t="n">
        <x:v>4</x:v>
      </x:c>
      <x:c r="C69" s="40" t="n">
        <x:v>14</x:v>
      </x:c>
      <x:c r="D69" s="36" t="str">
        <x:v>direita → esquerda</x:v>
      </x:c>
      <x:c r="E69" s="41" t="n">
        <x:v>-0.050000000000000044</x:v>
      </x:c>
      <x:c r="F69" s="41" t="n">
        <x:v>-1.25</x:v>
      </x:c>
      <x:c r="G69" s="99" t="n">
        <x:v>32.9013</x:v>
      </x:c>
    </x:row>
    <x:row r="70">
      <x:c r="A70" s="40" t="n">
        <x:v>66</x:v>
      </x:c>
      <x:c r="B70" s="40" t="n">
        <x:v>4</x:v>
      </x:c>
      <x:c r="C70" s="40" t="n">
        <x:v>15</x:v>
      </x:c>
      <x:c r="D70" s="36" t="str">
        <x:v>direita → esquerda</x:v>
      </x:c>
      <x:c r="E70" s="41" t="n">
        <x:v>-0.30000000000000004</x:v>
      </x:c>
      <x:c r="F70" s="41" t="n">
        <x:v>-1.25</x:v>
      </x:c>
      <x:c r="G70" s="99" t="n">
        <x:v>38.4556</x:v>
      </x:c>
    </x:row>
    <x:row r="71">
      <x:c r="A71" s="40" t="n">
        <x:v>67</x:v>
      </x:c>
      <x:c r="B71" s="40" t="n">
        <x:v>4</x:v>
      </x:c>
      <x:c r="C71" s="40" t="n">
        <x:v>16</x:v>
      </x:c>
      <x:c r="D71" s="36" t="str">
        <x:v>direita → esquerda</x:v>
      </x:c>
      <x:c r="E71" s="41" t="n">
        <x:v>-0.55</x:v>
      </x:c>
      <x:c r="F71" s="41" t="n">
        <x:v>-1.25</x:v>
      </x:c>
      <x:c r="G71" s="99" t="n">
        <x:v>34.9445</x:v>
      </x:c>
    </x:row>
    <x:row r="72">
      <x:c r="A72" s="40" t="n">
        <x:v>68</x:v>
      </x:c>
      <x:c r="B72" s="40" t="n">
        <x:v>4</x:v>
      </x:c>
      <x:c r="C72" s="40" t="n">
        <x:v>17</x:v>
      </x:c>
      <x:c r="D72" s="36" t="str">
        <x:v>direita → esquerda</x:v>
      </x:c>
      <x:c r="E72" s="41" t="n">
        <x:v>-0.8</x:v>
      </x:c>
      <x:c r="F72" s="41" t="n">
        <x:v>-1.25</x:v>
      </x:c>
      <x:c r="G72" s="99" t="n">
        <x:v>37.5241</x:v>
      </x:c>
    </x:row>
    <x:row r="73">
      <x:c r="A73" s="40" t="n">
        <x:v>69</x:v>
      </x:c>
      <x:c r="B73" s="40" t="n">
        <x:v>5</x:v>
      </x:c>
      <x:c r="C73" s="40" t="n">
        <x:v>1</x:v>
      </x:c>
      <x:c r="D73" s="36" t="str">
        <x:v>esquerda → direita</x:v>
      </x:c>
      <x:c r="E73" s="41" t="n">
        <x:v>-0.8</x:v>
      </x:c>
      <x:c r="F73" s="41" t="n">
        <x:v>-1</x:v>
      </x:c>
      <x:c r="G73" s="99" t="n">
        <x:v>33.639</x:v>
      </x:c>
    </x:row>
    <x:row r="74">
      <x:c r="A74" s="40" t="n">
        <x:v>70</x:v>
      </x:c>
      <x:c r="B74" s="40" t="n">
        <x:v>5</x:v>
      </x:c>
      <x:c r="C74" s="40" t="n">
        <x:v>2</x:v>
      </x:c>
      <x:c r="D74" s="36" t="str">
        <x:v>esquerda → direita</x:v>
      </x:c>
      <x:c r="E74" s="41" t="n">
        <x:v>-0.55</x:v>
      </x:c>
      <x:c r="F74" s="41" t="n">
        <x:v>-1</x:v>
      </x:c>
      <x:c r="G74" s="99" t="n">
        <x:v>35.9228</x:v>
      </x:c>
    </x:row>
    <x:row r="75">
      <x:c r="A75" s="40" t="n">
        <x:v>71</x:v>
      </x:c>
      <x:c r="B75" s="40" t="n">
        <x:v>5</x:v>
      </x:c>
      <x:c r="C75" s="40" t="n">
        <x:v>3</x:v>
      </x:c>
      <x:c r="D75" s="36" t="str">
        <x:v>esquerda → direita</x:v>
      </x:c>
      <x:c r="E75" s="41" t="n">
        <x:v>-0.30000000000000004</x:v>
      </x:c>
      <x:c r="F75" s="41" t="n">
        <x:v>-1</x:v>
      </x:c>
      <x:c r="G75" s="99" t="n">
        <x:v>30.8404</x:v>
      </x:c>
    </x:row>
    <x:row r="76">
      <x:c r="A76" s="40" t="n">
        <x:v>72</x:v>
      </x:c>
      <x:c r="B76" s="40" t="n">
        <x:v>5</x:v>
      </x:c>
      <x:c r="C76" s="40" t="n">
        <x:v>4</x:v>
      </x:c>
      <x:c r="D76" s="36" t="str">
        <x:v>esquerda → direita</x:v>
      </x:c>
      <x:c r="E76" s="41" t="n">
        <x:v>-0.050000000000000044</x:v>
      </x:c>
      <x:c r="F76" s="41" t="n">
        <x:v>-1</x:v>
      </x:c>
      <x:c r="G76" s="99" t="n">
        <x:v>32.1241</x:v>
      </x:c>
    </x:row>
    <x:row r="77">
      <x:c r="A77" s="40" t="n">
        <x:v>73</x:v>
      </x:c>
      <x:c r="B77" s="40" t="n">
        <x:v>5</x:v>
      </x:c>
      <x:c r="C77" s="40" t="n">
        <x:v>5</x:v>
      </x:c>
      <x:c r="D77" s="36" t="str">
        <x:v>esquerda → direita</x:v>
      </x:c>
      <x:c r="E77" s="41" t="n">
        <x:v>0.19999999999999996</x:v>
      </x:c>
      <x:c r="F77" s="41" t="n">
        <x:v>-1</x:v>
      </x:c>
      <x:c r="G77" s="99" t="n">
        <x:v>37.2011</x:v>
      </x:c>
    </x:row>
    <x:row r="78">
      <x:c r="A78" s="40" t="n">
        <x:v>74</x:v>
      </x:c>
      <x:c r="B78" s="40" t="n">
        <x:v>5</x:v>
      </x:c>
      <x:c r="C78" s="40" t="n">
        <x:v>6</x:v>
      </x:c>
      <x:c r="D78" s="36" t="str">
        <x:v>esquerda → direita</x:v>
      </x:c>
      <x:c r="E78" s="41" t="n">
        <x:v>0.44999999999999996</x:v>
      </x:c>
      <x:c r="F78" s="41" t="n">
        <x:v>-1</x:v>
      </x:c>
      <x:c r="G78" s="99" t="n">
        <x:v>30.6312</x:v>
      </x:c>
    </x:row>
    <x:row r="79">
      <x:c r="A79" s="40" t="n">
        <x:v>75</x:v>
      </x:c>
      <x:c r="B79" s="40" t="n">
        <x:v>5</x:v>
      </x:c>
      <x:c r="C79" s="40" t="n">
        <x:v>7</x:v>
      </x:c>
      <x:c r="D79" s="36" t="str">
        <x:v>esquerda → direita</x:v>
      </x:c>
      <x:c r="E79" s="41" t="n">
        <x:v>0.7</x:v>
      </x:c>
      <x:c r="F79" s="41" t="n">
        <x:v>-1</x:v>
      </x:c>
      <x:c r="G79" s="99" t="n">
        <x:v>33.3394</x:v>
      </x:c>
    </x:row>
    <x:row r="80">
      <x:c r="A80" s="40" t="n">
        <x:v>76</x:v>
      </x:c>
      <x:c r="B80" s="40" t="n">
        <x:v>5</x:v>
      </x:c>
      <x:c r="C80" s="40" t="n">
        <x:v>8</x:v>
      </x:c>
      <x:c r="D80" s="36" t="str">
        <x:v>esquerda → direita</x:v>
      </x:c>
      <x:c r="E80" s="41" t="n">
        <x:v>0.95</x:v>
      </x:c>
      <x:c r="F80" s="41" t="n">
        <x:v>-1</x:v>
      </x:c>
      <x:c r="G80" s="99" t="n">
        <x:v>31.6598</x:v>
      </x:c>
    </x:row>
    <x:row r="81">
      <x:c r="A81" s="40" t="n">
        <x:v>77</x:v>
      </x:c>
      <x:c r="B81" s="40" t="n">
        <x:v>5</x:v>
      </x:c>
      <x:c r="C81" s="40" t="n">
        <x:v>9</x:v>
      </x:c>
      <x:c r="D81" s="36" t="str">
        <x:v>esquerda → direita</x:v>
      </x:c>
      <x:c r="E81" s="41" t="n">
        <x:v>1.2</x:v>
      </x:c>
      <x:c r="F81" s="41" t="n">
        <x:v>-1</x:v>
      </x:c>
      <x:c r="G81" s="99" t="n">
        <x:v>30.3722</x:v>
      </x:c>
    </x:row>
    <x:row r="82">
      <x:c r="A82" s="40" t="n">
        <x:v>78</x:v>
      </x:c>
      <x:c r="B82" s="40" t="n">
        <x:v>5</x:v>
      </x:c>
      <x:c r="C82" s="40" t="n">
        <x:v>10</x:v>
      </x:c>
      <x:c r="D82" s="36" t="str">
        <x:v>esquerda → direita</x:v>
      </x:c>
      <x:c r="E82" s="41" t="n">
        <x:v>1.45</x:v>
      </x:c>
      <x:c r="F82" s="41" t="n">
        <x:v>-1</x:v>
      </x:c>
      <x:c r="G82" s="99" t="n">
        <x:v>29.5478</x:v>
      </x:c>
    </x:row>
    <x:row r="83">
      <x:c r="A83" s="40" t="n">
        <x:v>79</x:v>
      </x:c>
      <x:c r="B83" s="40" t="n">
        <x:v>5</x:v>
      </x:c>
      <x:c r="C83" s="40" t="n">
        <x:v>11</x:v>
      </x:c>
      <x:c r="D83" s="36" t="str">
        <x:v>esquerda → direita</x:v>
      </x:c>
      <x:c r="E83" s="41" t="n">
        <x:v>1.7</x:v>
      </x:c>
      <x:c r="F83" s="41" t="n">
        <x:v>-1</x:v>
      </x:c>
      <x:c r="G83" s="99" t="n">
        <x:v>33.6879</x:v>
      </x:c>
    </x:row>
    <x:row r="84">
      <x:c r="A84" s="40" t="n">
        <x:v>80</x:v>
      </x:c>
      <x:c r="B84" s="40" t="n">
        <x:v>5</x:v>
      </x:c>
      <x:c r="C84" s="40" t="n">
        <x:v>12</x:v>
      </x:c>
      <x:c r="D84" s="36" t="str">
        <x:v>esquerda → direita</x:v>
      </x:c>
      <x:c r="E84" s="41" t="n">
        <x:v>1.95</x:v>
      </x:c>
      <x:c r="F84" s="41" t="n">
        <x:v>-1</x:v>
      </x:c>
      <x:c r="G84" s="99" t="n">
        <x:v>31.4716</x:v>
      </x:c>
    </x:row>
    <x:row r="85">
      <x:c r="A85" s="40" t="n">
        <x:v>81</x:v>
      </x:c>
      <x:c r="B85" s="40" t="n">
        <x:v>5</x:v>
      </x:c>
      <x:c r="C85" s="40" t="n">
        <x:v>13</x:v>
      </x:c>
      <x:c r="D85" s="36" t="str">
        <x:v>esquerda → direita</x:v>
      </x:c>
      <x:c r="E85" s="41" t="n">
        <x:v>2.2</x:v>
      </x:c>
      <x:c r="F85" s="41" t="n">
        <x:v>-1</x:v>
      </x:c>
      <x:c r="G85" s="99" t="n">
        <x:v>35.7731</x:v>
      </x:c>
    </x:row>
    <x:row r="86">
      <x:c r="A86" s="40" t="n">
        <x:v>82</x:v>
      </x:c>
      <x:c r="B86" s="40" t="n">
        <x:v>5</x:v>
      </x:c>
      <x:c r="C86" s="40" t="n">
        <x:v>14</x:v>
      </x:c>
      <x:c r="D86" s="36" t="str">
        <x:v>esquerda → direita</x:v>
      </x:c>
      <x:c r="E86" s="41" t="n">
        <x:v>2.45</x:v>
      </x:c>
      <x:c r="F86" s="41" t="n">
        <x:v>-1</x:v>
      </x:c>
      <x:c r="G86" s="99" t="n">
        <x:v>32.1459</x:v>
      </x:c>
    </x:row>
    <x:row r="87">
      <x:c r="A87" s="40" t="n">
        <x:v>83</x:v>
      </x:c>
      <x:c r="B87" s="40" t="n">
        <x:v>5</x:v>
      </x:c>
      <x:c r="C87" s="40" t="n">
        <x:v>15</x:v>
      </x:c>
      <x:c r="D87" s="36" t="str">
        <x:v>esquerda → direita</x:v>
      </x:c>
      <x:c r="E87" s="41" t="n">
        <x:v>2.7</x:v>
      </x:c>
      <x:c r="F87" s="41" t="n">
        <x:v>-1</x:v>
      </x:c>
      <x:c r="G87" s="99" t="n">
        <x:v>34.7957</x:v>
      </x:c>
    </x:row>
    <x:row r="88">
      <x:c r="A88" s="40" t="n">
        <x:v>84</x:v>
      </x:c>
      <x:c r="B88" s="40" t="n">
        <x:v>5</x:v>
      </x:c>
      <x:c r="C88" s="40" t="n">
        <x:v>16</x:v>
      </x:c>
      <x:c r="D88" s="36" t="str">
        <x:v>esquerda → direita</x:v>
      </x:c>
      <x:c r="E88" s="41" t="n">
        <x:v>2.95</x:v>
      </x:c>
      <x:c r="F88" s="41" t="n">
        <x:v>-1</x:v>
      </x:c>
      <x:c r="G88" s="99" t="n">
        <x:v>36.6718</x:v>
      </x:c>
    </x:row>
    <x:row r="89">
      <x:c r="A89" s="40" t="n">
        <x:v>85</x:v>
      </x:c>
      <x:c r="B89" s="40" t="n">
        <x:v>5</x:v>
      </x:c>
      <x:c r="C89" s="40" t="n">
        <x:v>17</x:v>
      </x:c>
      <x:c r="D89" s="36" t="str">
        <x:v>esquerda → direita</x:v>
      </x:c>
      <x:c r="E89" s="41" t="n">
        <x:v>3.2</x:v>
      </x:c>
      <x:c r="F89" s="41" t="n">
        <x:v>-1</x:v>
      </x:c>
      <x:c r="G89" s="99" t="n">
        <x:v>37.3531</x:v>
      </x:c>
    </x:row>
    <x:row r="90">
      <x:c r="A90" s="40" t="n">
        <x:v>86</x:v>
      </x:c>
      <x:c r="B90" s="40" t="n">
        <x:v>6</x:v>
      </x:c>
      <x:c r="C90" s="40" t="n">
        <x:v>1</x:v>
      </x:c>
      <x:c r="D90" s="36" t="str">
        <x:v>direita → esquerda</x:v>
      </x:c>
      <x:c r="E90" s="41" t="n">
        <x:v>3.2</x:v>
      </x:c>
      <x:c r="F90" s="41" t="n">
        <x:v>-0.75</x:v>
      </x:c>
      <x:c r="G90" s="99" t="n">
        <x:v>33.2327</x:v>
      </x:c>
    </x:row>
    <x:row r="91">
      <x:c r="A91" s="40" t="n">
        <x:v>87</x:v>
      </x:c>
      <x:c r="B91" s="40" t="n">
        <x:v>6</x:v>
      </x:c>
      <x:c r="C91" s="40" t="n">
        <x:v>2</x:v>
      </x:c>
      <x:c r="D91" s="36" t="str">
        <x:v>direita → esquerda</x:v>
      </x:c>
      <x:c r="E91" s="41" t="n">
        <x:v>2.95</x:v>
      </x:c>
      <x:c r="F91" s="41" t="n">
        <x:v>-0.75</x:v>
      </x:c>
      <x:c r="G91" s="99" t="n">
        <x:v>33.473</x:v>
      </x:c>
    </x:row>
    <x:row r="92">
      <x:c r="A92" s="40" t="n">
        <x:v>88</x:v>
      </x:c>
      <x:c r="B92" s="40" t="n">
        <x:v>6</x:v>
      </x:c>
      <x:c r="C92" s="40" t="n">
        <x:v>3</x:v>
      </x:c>
      <x:c r="D92" s="36" t="str">
        <x:v>direita → esquerda</x:v>
      </x:c>
      <x:c r="E92" s="41" t="n">
        <x:v>2.7</x:v>
      </x:c>
      <x:c r="F92" s="41" t="n">
        <x:v>-0.75</x:v>
      </x:c>
      <x:c r="G92" s="99" t="n">
        <x:v>33.2043</x:v>
      </x:c>
    </x:row>
    <x:row r="93">
      <x:c r="A93" s="40" t="n">
        <x:v>89</x:v>
      </x:c>
      <x:c r="B93" s="40" t="n">
        <x:v>6</x:v>
      </x:c>
      <x:c r="C93" s="40" t="n">
        <x:v>4</x:v>
      </x:c>
      <x:c r="D93" s="36" t="str">
        <x:v>direita → esquerda</x:v>
      </x:c>
      <x:c r="E93" s="41" t="n">
        <x:v>2.45</x:v>
      </x:c>
      <x:c r="F93" s="41" t="n">
        <x:v>-0.75</x:v>
      </x:c>
      <x:c r="G93" s="99" t="n">
        <x:v>30.4529</x:v>
      </x:c>
    </x:row>
    <x:row r="94">
      <x:c r="A94" s="40" t="n">
        <x:v>90</x:v>
      </x:c>
      <x:c r="B94" s="40" t="n">
        <x:v>6</x:v>
      </x:c>
      <x:c r="C94" s="40" t="n">
        <x:v>5</x:v>
      </x:c>
      <x:c r="D94" s="36" t="str">
        <x:v>direita → esquerda</x:v>
      </x:c>
      <x:c r="E94" s="41" t="n">
        <x:v>2.2</x:v>
      </x:c>
      <x:c r="F94" s="41" t="n">
        <x:v>-0.75</x:v>
      </x:c>
      <x:c r="G94" s="99" t="n">
        <x:v>32.0005</x:v>
      </x:c>
    </x:row>
    <x:row r="95">
      <x:c r="A95" s="40" t="n">
        <x:v>91</x:v>
      </x:c>
      <x:c r="B95" s="40" t="n">
        <x:v>6</x:v>
      </x:c>
      <x:c r="C95" s="40" t="n">
        <x:v>6</x:v>
      </x:c>
      <x:c r="D95" s="36" t="str">
        <x:v>direita → esquerda</x:v>
      </x:c>
      <x:c r="E95" s="41" t="n">
        <x:v>1.95</x:v>
      </x:c>
      <x:c r="F95" s="41" t="n">
        <x:v>-0.75</x:v>
      </x:c>
      <x:c r="G95" s="99" t="n">
        <x:v>30.5708</x:v>
      </x:c>
    </x:row>
    <x:row r="96">
      <x:c r="A96" s="40" t="n">
        <x:v>92</x:v>
      </x:c>
      <x:c r="B96" s="40" t="n">
        <x:v>6</x:v>
      </x:c>
      <x:c r="C96" s="40" t="n">
        <x:v>7</x:v>
      </x:c>
      <x:c r="D96" s="36" t="str">
        <x:v>direita → esquerda</x:v>
      </x:c>
      <x:c r="E96" s="41" t="n">
        <x:v>1.7</x:v>
      </x:c>
      <x:c r="F96" s="41" t="n">
        <x:v>-0.75</x:v>
      </x:c>
      <x:c r="G96" s="99" t="n">
        <x:v>25.161</x:v>
      </x:c>
    </x:row>
    <x:row r="97">
      <x:c r="A97" s="40" t="n">
        <x:v>93</x:v>
      </x:c>
      <x:c r="B97" s="40" t="n">
        <x:v>6</x:v>
      </x:c>
      <x:c r="C97" s="40" t="n">
        <x:v>8</x:v>
      </x:c>
      <x:c r="D97" s="36" t="str">
        <x:v>direita → esquerda</x:v>
      </x:c>
      <x:c r="E97" s="41" t="n">
        <x:v>1.45</x:v>
      </x:c>
      <x:c r="F97" s="41" t="n">
        <x:v>-0.75</x:v>
      </x:c>
      <x:c r="G97" s="99" t="n">
        <x:v>24.9819</x:v>
      </x:c>
    </x:row>
    <x:row r="98">
      <x:c r="A98" s="40" t="n">
        <x:v>94</x:v>
      </x:c>
      <x:c r="B98" s="40" t="n">
        <x:v>6</x:v>
      </x:c>
      <x:c r="C98" s="40" t="n">
        <x:v>9</x:v>
      </x:c>
      <x:c r="D98" s="36" t="str">
        <x:v>direita → esquerda</x:v>
      </x:c>
      <x:c r="E98" s="41" t="n">
        <x:v>1.2</x:v>
      </x:c>
      <x:c r="F98" s="41" t="n">
        <x:v>-0.75</x:v>
      </x:c>
      <x:c r="G98" s="99" t="n">
        <x:v>25.7527</x:v>
      </x:c>
    </x:row>
    <x:row r="99">
      <x:c r="A99" s="40" t="n">
        <x:v>95</x:v>
      </x:c>
      <x:c r="B99" s="40" t="n">
        <x:v>6</x:v>
      </x:c>
      <x:c r="C99" s="40" t="n">
        <x:v>10</x:v>
      </x:c>
      <x:c r="D99" s="36" t="str">
        <x:v>direita → esquerda</x:v>
      </x:c>
      <x:c r="E99" s="41" t="n">
        <x:v>0.95</x:v>
      </x:c>
      <x:c r="F99" s="41" t="n">
        <x:v>-0.75</x:v>
      </x:c>
      <x:c r="G99" s="99" t="n">
        <x:v>28.3639</x:v>
      </x:c>
    </x:row>
    <x:row r="100">
      <x:c r="A100" s="40" t="n">
        <x:v>96</x:v>
      </x:c>
      <x:c r="B100" s="40" t="n">
        <x:v>6</x:v>
      </x:c>
      <x:c r="C100" s="40" t="n">
        <x:v>11</x:v>
      </x:c>
      <x:c r="D100" s="36" t="str">
        <x:v>direita → esquerda</x:v>
      </x:c>
      <x:c r="E100" s="41" t="n">
        <x:v>0.7</x:v>
      </x:c>
      <x:c r="F100" s="41" t="n">
        <x:v>-0.75</x:v>
      </x:c>
      <x:c r="G100" s="99" t="n">
        <x:v>32.3087</x:v>
      </x:c>
    </x:row>
    <x:row r="101">
      <x:c r="A101" s="40" t="n">
        <x:v>97</x:v>
      </x:c>
      <x:c r="B101" s="40" t="n">
        <x:v>6</x:v>
      </x:c>
      <x:c r="C101" s="40" t="n">
        <x:v>12</x:v>
      </x:c>
      <x:c r="D101" s="36" t="str">
        <x:v>direita → esquerda</x:v>
      </x:c>
      <x:c r="E101" s="41" t="n">
        <x:v>0.44999999999999996</x:v>
      </x:c>
      <x:c r="F101" s="41" t="n">
        <x:v>-0.75</x:v>
      </x:c>
      <x:c r="G101" s="99" t="n">
        <x:v>28.9284</x:v>
      </x:c>
    </x:row>
    <x:row r="102">
      <x:c r="A102" s="40" t="n">
        <x:v>98</x:v>
      </x:c>
      <x:c r="B102" s="40" t="n">
        <x:v>6</x:v>
      </x:c>
      <x:c r="C102" s="40" t="n">
        <x:v>13</x:v>
      </x:c>
      <x:c r="D102" s="36" t="str">
        <x:v>direita → esquerda</x:v>
      </x:c>
      <x:c r="E102" s="41" t="n">
        <x:v>0.19999999999999996</x:v>
      </x:c>
      <x:c r="F102" s="41" t="n">
        <x:v>-0.75</x:v>
      </x:c>
      <x:c r="G102" s="99" t="n">
        <x:v>31.3673</x:v>
      </x:c>
    </x:row>
    <x:row r="103">
      <x:c r="A103" s="40" t="n">
        <x:v>99</x:v>
      </x:c>
      <x:c r="B103" s="40" t="n">
        <x:v>6</x:v>
      </x:c>
      <x:c r="C103" s="40" t="n">
        <x:v>14</x:v>
      </x:c>
      <x:c r="D103" s="36" t="str">
        <x:v>direita → esquerda</x:v>
      </x:c>
      <x:c r="E103" s="41" t="n">
        <x:v>-0.050000000000000044</x:v>
      </x:c>
      <x:c r="F103" s="41" t="n">
        <x:v>-0.75</x:v>
      </x:c>
      <x:c r="G103" s="99" t="n">
        <x:v>30.2676</x:v>
      </x:c>
    </x:row>
    <x:row r="104">
      <x:c r="A104" s="40" t="n">
        <x:v>100</x:v>
      </x:c>
      <x:c r="B104" s="40" t="n">
        <x:v>6</x:v>
      </x:c>
      <x:c r="C104" s="40" t="n">
        <x:v>15</x:v>
      </x:c>
      <x:c r="D104" s="36" t="str">
        <x:v>direita → esquerda</x:v>
      </x:c>
      <x:c r="E104" s="41" t="n">
        <x:v>-0.30000000000000004</x:v>
      </x:c>
      <x:c r="F104" s="41" t="n">
        <x:v>-0.75</x:v>
      </x:c>
      <x:c r="G104" s="99" t="n">
        <x:v>31.7197</x:v>
      </x:c>
    </x:row>
    <x:row r="105">
      <x:c r="A105" s="40" t="n">
        <x:v>101</x:v>
      </x:c>
      <x:c r="B105" s="40" t="n">
        <x:v>6</x:v>
      </x:c>
      <x:c r="C105" s="40" t="n">
        <x:v>16</x:v>
      </x:c>
      <x:c r="D105" s="36" t="str">
        <x:v>direita → esquerda</x:v>
      </x:c>
      <x:c r="E105" s="41" t="n">
        <x:v>-0.55</x:v>
      </x:c>
      <x:c r="F105" s="41" t="n">
        <x:v>-0.75</x:v>
      </x:c>
      <x:c r="G105" s="99" t="n">
        <x:v>31.0187</x:v>
      </x:c>
    </x:row>
    <x:row r="106">
      <x:c r="A106" s="40" t="n">
        <x:v>102</x:v>
      </x:c>
      <x:c r="B106" s="40" t="n">
        <x:v>6</x:v>
      </x:c>
      <x:c r="C106" s="40" t="n">
        <x:v>17</x:v>
      </x:c>
      <x:c r="D106" s="36" t="str">
        <x:v>direita → esquerda</x:v>
      </x:c>
      <x:c r="E106" s="41" t="n">
        <x:v>-0.8</x:v>
      </x:c>
      <x:c r="F106" s="41" t="n">
        <x:v>-0.75</x:v>
      </x:c>
      <x:c r="G106" s="99" t="n">
        <x:v>36.3307</x:v>
      </x:c>
    </x:row>
    <x:row r="107">
      <x:c r="A107" s="40" t="n">
        <x:v>103</x:v>
      </x:c>
      <x:c r="B107" s="40" t="n">
        <x:v>7</x:v>
      </x:c>
      <x:c r="C107" s="40" t="n">
        <x:v>1</x:v>
      </x:c>
      <x:c r="D107" s="36" t="str">
        <x:v>esquerda → direita</x:v>
      </x:c>
      <x:c r="E107" s="41" t="n">
        <x:v>-0.8</x:v>
      </x:c>
      <x:c r="F107" s="41" t="n">
        <x:v>-0.5</x:v>
      </x:c>
      <x:c r="G107" s="99" t="n">
        <x:v>38.0029</x:v>
      </x:c>
    </x:row>
    <x:row r="108">
      <x:c r="A108" s="40" t="n">
        <x:v>104</x:v>
      </x:c>
      <x:c r="B108" s="40" t="n">
        <x:v>7</x:v>
      </x:c>
      <x:c r="C108" s="40" t="n">
        <x:v>2</x:v>
      </x:c>
      <x:c r="D108" s="36" t="str">
        <x:v>esquerda → direita</x:v>
      </x:c>
      <x:c r="E108" s="41" t="n">
        <x:v>-0.55</x:v>
      </x:c>
      <x:c r="F108" s="41" t="n">
        <x:v>-0.5</x:v>
      </x:c>
      <x:c r="G108" s="99" t="n">
        <x:v>33.7587</x:v>
      </x:c>
    </x:row>
    <x:row r="109">
      <x:c r="A109" s="40" t="n">
        <x:v>105</x:v>
      </x:c>
      <x:c r="B109" s="40" t="n">
        <x:v>7</x:v>
      </x:c>
      <x:c r="C109" s="40" t="n">
        <x:v>3</x:v>
      </x:c>
      <x:c r="D109" s="36" t="str">
        <x:v>esquerda → direita</x:v>
      </x:c>
      <x:c r="E109" s="41" t="n">
        <x:v>-0.30000000000000004</x:v>
      </x:c>
      <x:c r="F109" s="41" t="n">
        <x:v>-0.5</x:v>
      </x:c>
      <x:c r="G109" s="99" t="n">
        <x:v>35.433</x:v>
      </x:c>
    </x:row>
    <x:row r="110">
      <x:c r="A110" s="40" t="n">
        <x:v>106</x:v>
      </x:c>
      <x:c r="B110" s="40" t="n">
        <x:v>7</x:v>
      </x:c>
      <x:c r="C110" s="40" t="n">
        <x:v>4</x:v>
      </x:c>
      <x:c r="D110" s="36" t="str">
        <x:v>esquerda → direita</x:v>
      </x:c>
      <x:c r="E110" s="41" t="n">
        <x:v>-0.050000000000000044</x:v>
      </x:c>
      <x:c r="F110" s="41" t="n">
        <x:v>-0.5</x:v>
      </x:c>
      <x:c r="G110" s="99" t="n">
        <x:v>30.664</x:v>
      </x:c>
    </x:row>
    <x:row r="111">
      <x:c r="A111" s="40" t="n">
        <x:v>107</x:v>
      </x:c>
      <x:c r="B111" s="40" t="n">
        <x:v>7</x:v>
      </x:c>
      <x:c r="C111" s="40" t="n">
        <x:v>5</x:v>
      </x:c>
      <x:c r="D111" s="36" t="str">
        <x:v>esquerda → direita</x:v>
      </x:c>
      <x:c r="E111" s="41" t="n">
        <x:v>0.19999999999999996</x:v>
      </x:c>
      <x:c r="F111" s="41" t="n">
        <x:v>-0.5</x:v>
      </x:c>
      <x:c r="G111" s="99" t="n">
        <x:v>27.8323</x:v>
      </x:c>
    </x:row>
    <x:row r="112">
      <x:c r="A112" s="40" t="n">
        <x:v>108</x:v>
      </x:c>
      <x:c r="B112" s="40" t="n">
        <x:v>7</x:v>
      </x:c>
      <x:c r="C112" s="40" t="n">
        <x:v>6</x:v>
      </x:c>
      <x:c r="D112" s="36" t="str">
        <x:v>esquerda → direita</x:v>
      </x:c>
      <x:c r="E112" s="41" t="n">
        <x:v>0.44999999999999996</x:v>
      </x:c>
      <x:c r="F112" s="41" t="n">
        <x:v>-0.5</x:v>
      </x:c>
      <x:c r="G112" s="99" t="n">
        <x:v>26.8086</x:v>
      </x:c>
    </x:row>
    <x:row r="113">
      <x:c r="A113" s="40" t="n">
        <x:v>109</x:v>
      </x:c>
      <x:c r="B113" s="40" t="n">
        <x:v>7</x:v>
      </x:c>
      <x:c r="C113" s="40" t="n">
        <x:v>7</x:v>
      </x:c>
      <x:c r="D113" s="36" t="str">
        <x:v>esquerda → direita</x:v>
      </x:c>
      <x:c r="E113" s="41" t="n">
        <x:v>0.7</x:v>
      </x:c>
      <x:c r="F113" s="41" t="n">
        <x:v>-0.5</x:v>
      </x:c>
      <x:c r="G113" s="99" t="n">
        <x:v>25.462</x:v>
      </x:c>
    </x:row>
    <x:row r="114">
      <x:c r="A114" s="40" t="n">
        <x:v>110</x:v>
      </x:c>
      <x:c r="B114" s="40" t="n">
        <x:v>7</x:v>
      </x:c>
      <x:c r="C114" s="40" t="n">
        <x:v>8</x:v>
      </x:c>
      <x:c r="D114" s="36" t="str">
        <x:v>esquerda → direita</x:v>
      </x:c>
      <x:c r="E114" s="41" t="n">
        <x:v>0.95</x:v>
      </x:c>
      <x:c r="F114" s="41" t="n">
        <x:v>-0.5</x:v>
      </x:c>
      <x:c r="G114" s="99" t="n">
        <x:v>25.7135</x:v>
      </x:c>
    </x:row>
    <x:row r="115">
      <x:c r="A115" s="40" t="n">
        <x:v>111</x:v>
      </x:c>
      <x:c r="B115" s="40" t="n">
        <x:v>7</x:v>
      </x:c>
      <x:c r="C115" s="40" t="n">
        <x:v>9</x:v>
      </x:c>
      <x:c r="D115" s="36" t="str">
        <x:v>esquerda → direita</x:v>
      </x:c>
      <x:c r="E115" s="41" t="n">
        <x:v>1.2</x:v>
      </x:c>
      <x:c r="F115" s="41" t="n">
        <x:v>-0.5</x:v>
      </x:c>
      <x:c r="G115" s="99" t="n">
        <x:v>22.6468</x:v>
      </x:c>
    </x:row>
    <x:row r="116">
      <x:c r="A116" s="40" t="n">
        <x:v>112</x:v>
      </x:c>
      <x:c r="B116" s="40" t="n">
        <x:v>7</x:v>
      </x:c>
      <x:c r="C116" s="40" t="n">
        <x:v>10</x:v>
      </x:c>
      <x:c r="D116" s="36" t="str">
        <x:v>esquerda → direita</x:v>
      </x:c>
      <x:c r="E116" s="41" t="n">
        <x:v>1.45</x:v>
      </x:c>
      <x:c r="F116" s="41" t="n">
        <x:v>-0.5</x:v>
      </x:c>
      <x:c r="G116" s="99" t="n">
        <x:v>20.6912</x:v>
      </x:c>
    </x:row>
    <x:row r="117">
      <x:c r="A117" s="40" t="n">
        <x:v>113</x:v>
      </x:c>
      <x:c r="B117" s="40" t="n">
        <x:v>7</x:v>
      </x:c>
      <x:c r="C117" s="40" t="n">
        <x:v>11</x:v>
      </x:c>
      <x:c r="D117" s="36" t="str">
        <x:v>esquerda → direita</x:v>
      </x:c>
      <x:c r="E117" s="41" t="n">
        <x:v>1.7</x:v>
      </x:c>
      <x:c r="F117" s="41" t="n">
        <x:v>-0.5</x:v>
      </x:c>
      <x:c r="G117" s="99" t="n">
        <x:v>24.9432</x:v>
      </x:c>
    </x:row>
    <x:row r="118">
      <x:c r="A118" s="40" t="n">
        <x:v>114</x:v>
      </x:c>
      <x:c r="B118" s="40" t="n">
        <x:v>7</x:v>
      </x:c>
      <x:c r="C118" s="40" t="n">
        <x:v>12</x:v>
      </x:c>
      <x:c r="D118" s="36" t="str">
        <x:v>esquerda → direita</x:v>
      </x:c>
      <x:c r="E118" s="41" t="n">
        <x:v>1.95</x:v>
      </x:c>
      <x:c r="F118" s="41" t="n">
        <x:v>-0.5</x:v>
      </x:c>
      <x:c r="G118" s="99" t="n">
        <x:v>25.0841</x:v>
      </x:c>
    </x:row>
    <x:row r="119">
      <x:c r="A119" s="40" t="n">
        <x:v>115</x:v>
      </x:c>
      <x:c r="B119" s="40" t="n">
        <x:v>7</x:v>
      </x:c>
      <x:c r="C119" s="40" t="n">
        <x:v>13</x:v>
      </x:c>
      <x:c r="D119" s="36" t="str">
        <x:v>esquerda → direita</x:v>
      </x:c>
      <x:c r="E119" s="41" t="n">
        <x:v>2.2</x:v>
      </x:c>
      <x:c r="F119" s="41" t="n">
        <x:v>-0.5</x:v>
      </x:c>
      <x:c r="G119" s="99" t="n">
        <x:v>27.5601</x:v>
      </x:c>
    </x:row>
    <x:row r="120">
      <x:c r="A120" s="40" t="n">
        <x:v>116</x:v>
      </x:c>
      <x:c r="B120" s="40" t="n">
        <x:v>7</x:v>
      </x:c>
      <x:c r="C120" s="40" t="n">
        <x:v>14</x:v>
      </x:c>
      <x:c r="D120" s="36" t="str">
        <x:v>esquerda → direita</x:v>
      </x:c>
      <x:c r="E120" s="41" t="n">
        <x:v>2.45</x:v>
      </x:c>
      <x:c r="F120" s="41" t="n">
        <x:v>-0.5</x:v>
      </x:c>
      <x:c r="G120" s="99" t="n">
        <x:v>33.5185</x:v>
      </x:c>
    </x:row>
    <x:row r="121">
      <x:c r="A121" s="40" t="n">
        <x:v>117</x:v>
      </x:c>
      <x:c r="B121" s="40" t="n">
        <x:v>7</x:v>
      </x:c>
      <x:c r="C121" s="40" t="n">
        <x:v>15</x:v>
      </x:c>
      <x:c r="D121" s="36" t="str">
        <x:v>esquerda → direita</x:v>
      </x:c>
      <x:c r="E121" s="41" t="n">
        <x:v>2.7</x:v>
      </x:c>
      <x:c r="F121" s="41" t="n">
        <x:v>-0.5</x:v>
      </x:c>
      <x:c r="G121" s="99" t="n">
        <x:v>30.6068</x:v>
      </x:c>
    </x:row>
    <x:row r="122">
      <x:c r="A122" s="40" t="n">
        <x:v>118</x:v>
      </x:c>
      <x:c r="B122" s="40" t="n">
        <x:v>7</x:v>
      </x:c>
      <x:c r="C122" s="40" t="n">
        <x:v>16</x:v>
      </x:c>
      <x:c r="D122" s="36" t="str">
        <x:v>esquerda → direita</x:v>
      </x:c>
      <x:c r="E122" s="41" t="n">
        <x:v>2.95</x:v>
      </x:c>
      <x:c r="F122" s="41" t="n">
        <x:v>-0.5</x:v>
      </x:c>
      <x:c r="G122" s="99" t="n">
        <x:v>36.3422</x:v>
      </x:c>
    </x:row>
    <x:row r="123">
      <x:c r="A123" s="40" t="n">
        <x:v>119</x:v>
      </x:c>
      <x:c r="B123" s="40" t="n">
        <x:v>7</x:v>
      </x:c>
      <x:c r="C123" s="40" t="n">
        <x:v>17</x:v>
      </x:c>
      <x:c r="D123" s="36" t="str">
        <x:v>esquerda → direita</x:v>
      </x:c>
      <x:c r="E123" s="41" t="n">
        <x:v>3.2</x:v>
      </x:c>
      <x:c r="F123" s="41" t="n">
        <x:v>-0.5</x:v>
      </x:c>
      <x:c r="G123" s="99" t="n">
        <x:v>38.2476</x:v>
      </x:c>
    </x:row>
    <x:row r="124">
      <x:c r="A124" s="40" t="n">
        <x:v>120</x:v>
      </x:c>
      <x:c r="B124" s="40" t="n">
        <x:v>8</x:v>
      </x:c>
      <x:c r="C124" s="40" t="n">
        <x:v>1</x:v>
      </x:c>
      <x:c r="D124" s="36" t="str">
        <x:v>direita → esquerda</x:v>
      </x:c>
      <x:c r="E124" s="41" t="n">
        <x:v>3.2</x:v>
      </x:c>
      <x:c r="F124" s="41" t="n">
        <x:v>-0.25</x:v>
      </x:c>
      <x:c r="G124" s="99" t="n">
        <x:v>36.7917</x:v>
      </x:c>
    </x:row>
    <x:row r="125">
      <x:c r="A125" s="40" t="n">
        <x:v>121</x:v>
      </x:c>
      <x:c r="B125" s="40" t="n">
        <x:v>8</x:v>
      </x:c>
      <x:c r="C125" s="40" t="n">
        <x:v>2</x:v>
      </x:c>
      <x:c r="D125" s="36" t="str">
        <x:v>direita → esquerda</x:v>
      </x:c>
      <x:c r="E125" s="41" t="n">
        <x:v>2.95</x:v>
      </x:c>
      <x:c r="F125" s="41" t="n">
        <x:v>-0.25</x:v>
      </x:c>
      <x:c r="G125" s="99" t="n">
        <x:v>36.3536</x:v>
      </x:c>
    </x:row>
    <x:row r="126">
      <x:c r="A126" s="40" t="n">
        <x:v>122</x:v>
      </x:c>
      <x:c r="B126" s="40" t="n">
        <x:v>8</x:v>
      </x:c>
      <x:c r="C126" s="40" t="n">
        <x:v>3</x:v>
      </x:c>
      <x:c r="D126" s="36" t="str">
        <x:v>direita → esquerda</x:v>
      </x:c>
      <x:c r="E126" s="41" t="n">
        <x:v>2.7</x:v>
      </x:c>
      <x:c r="F126" s="41" t="n">
        <x:v>-0.25</x:v>
      </x:c>
      <x:c r="G126" s="99" t="n">
        <x:v>30.4832</x:v>
      </x:c>
    </x:row>
    <x:row r="127">
      <x:c r="A127" s="40" t="n">
        <x:v>123</x:v>
      </x:c>
      <x:c r="B127" s="40" t="n">
        <x:v>8</x:v>
      </x:c>
      <x:c r="C127" s="40" t="n">
        <x:v>4</x:v>
      </x:c>
      <x:c r="D127" s="36" t="str">
        <x:v>direita → esquerda</x:v>
      </x:c>
      <x:c r="E127" s="41" t="n">
        <x:v>2.45</x:v>
      </x:c>
      <x:c r="F127" s="41" t="n">
        <x:v>-0.25</x:v>
      </x:c>
      <x:c r="G127" s="99" t="n">
        <x:v>26.0726</x:v>
      </x:c>
    </x:row>
    <x:row r="128">
      <x:c r="A128" s="40" t="n">
        <x:v>124</x:v>
      </x:c>
      <x:c r="B128" s="40" t="n">
        <x:v>8</x:v>
      </x:c>
      <x:c r="C128" s="40" t="n">
        <x:v>5</x:v>
      </x:c>
      <x:c r="D128" s="36" t="str">
        <x:v>direita → esquerda</x:v>
      </x:c>
      <x:c r="E128" s="41" t="n">
        <x:v>2.2</x:v>
      </x:c>
      <x:c r="F128" s="41" t="n">
        <x:v>-0.25</x:v>
      </x:c>
      <x:c r="G128" s="99" t="n">
        <x:v>24.0443</x:v>
      </x:c>
    </x:row>
    <x:row r="129">
      <x:c r="A129" s="40" t="n">
        <x:v>125</x:v>
      </x:c>
      <x:c r="B129" s="40" t="n">
        <x:v>8</x:v>
      </x:c>
      <x:c r="C129" s="40" t="n">
        <x:v>6</x:v>
      </x:c>
      <x:c r="D129" s="36" t="str">
        <x:v>direita → esquerda</x:v>
      </x:c>
      <x:c r="E129" s="41" t="n">
        <x:v>1.95</x:v>
      </x:c>
      <x:c r="F129" s="41" t="n">
        <x:v>-0.25</x:v>
      </x:c>
      <x:c r="G129" s="99" t="n">
        <x:v>20.4413</x:v>
      </x:c>
    </x:row>
    <x:row r="130">
      <x:c r="A130" s="40" t="n">
        <x:v>126</x:v>
      </x:c>
      <x:c r="B130" s="40" t="n">
        <x:v>8</x:v>
      </x:c>
      <x:c r="C130" s="40" t="n">
        <x:v>7</x:v>
      </x:c>
      <x:c r="D130" s="36" t="str">
        <x:v>direita → esquerda</x:v>
      </x:c>
      <x:c r="E130" s="41" t="n">
        <x:v>1.7</x:v>
      </x:c>
      <x:c r="F130" s="41" t="n">
        <x:v>-0.25</x:v>
      </x:c>
      <x:c r="G130" s="99" t="n">
        <x:v>19.3852</x:v>
      </x:c>
    </x:row>
    <x:row r="131">
      <x:c r="A131" s="40" t="n">
        <x:v>127</x:v>
      </x:c>
      <x:c r="B131" s="40" t="n">
        <x:v>8</x:v>
      </x:c>
      <x:c r="C131" s="40" t="n">
        <x:v>8</x:v>
      </x:c>
      <x:c r="D131" s="36" t="str">
        <x:v>direita → esquerda</x:v>
      </x:c>
      <x:c r="E131" s="41" t="n">
        <x:v>1.45</x:v>
      </x:c>
      <x:c r="F131" s="41" t="n">
        <x:v>-0.25</x:v>
      </x:c>
      <x:c r="G131" s="99" t="n">
        <x:v>17.2085</x:v>
      </x:c>
    </x:row>
    <x:row r="132">
      <x:c r="A132" s="40" t="n">
        <x:v>128</x:v>
      </x:c>
      <x:c r="B132" s="40" t="n">
        <x:v>8</x:v>
      </x:c>
      <x:c r="C132" s="40" t="n">
        <x:v>9</x:v>
      </x:c>
      <x:c r="D132" s="36" t="str">
        <x:v>direita → esquerda</x:v>
      </x:c>
      <x:c r="E132" s="41" t="n">
        <x:v>1.2</x:v>
      </x:c>
      <x:c r="F132" s="41" t="n">
        <x:v>-0.25</x:v>
      </x:c>
      <x:c r="G132" s="99" t="n">
        <x:v>18.3665</x:v>
      </x:c>
    </x:row>
    <x:row r="133">
      <x:c r="A133" s="40" t="n">
        <x:v>129</x:v>
      </x:c>
      <x:c r="B133" s="40" t="n">
        <x:v>8</x:v>
      </x:c>
      <x:c r="C133" s="40" t="n">
        <x:v>10</x:v>
      </x:c>
      <x:c r="D133" s="36" t="str">
        <x:v>direita → esquerda</x:v>
      </x:c>
      <x:c r="E133" s="41" t="n">
        <x:v>0.95</x:v>
      </x:c>
      <x:c r="F133" s="41" t="n">
        <x:v>-0.25</x:v>
      </x:c>
      <x:c r="G133" s="99" t="n">
        <x:v>16.6853</x:v>
      </x:c>
    </x:row>
    <x:row r="134">
      <x:c r="A134" s="40" t="n">
        <x:v>130</x:v>
      </x:c>
      <x:c r="B134" s="40" t="n">
        <x:v>8</x:v>
      </x:c>
      <x:c r="C134" s="40" t="n">
        <x:v>11</x:v>
      </x:c>
      <x:c r="D134" s="36" t="str">
        <x:v>direita → esquerda</x:v>
      </x:c>
      <x:c r="E134" s="41" t="n">
        <x:v>0.7</x:v>
      </x:c>
      <x:c r="F134" s="41" t="n">
        <x:v>-0.25</x:v>
      </x:c>
      <x:c r="G134" s="99" t="n">
        <x:v>16.6922</x:v>
      </x:c>
    </x:row>
    <x:row r="135">
      <x:c r="A135" s="40" t="n">
        <x:v>131</x:v>
      </x:c>
      <x:c r="B135" s="40" t="n">
        <x:v>8</x:v>
      </x:c>
      <x:c r="C135" s="40" t="n">
        <x:v>12</x:v>
      </x:c>
      <x:c r="D135" s="36" t="str">
        <x:v>direita → esquerda</x:v>
      </x:c>
      <x:c r="E135" s="41" t="n">
        <x:v>0.44999999999999996</x:v>
      </x:c>
      <x:c r="F135" s="41" t="n">
        <x:v>-0.25</x:v>
      </x:c>
      <x:c r="G135" s="99" t="n">
        <x:v>17.1124</x:v>
      </x:c>
    </x:row>
    <x:row r="136">
      <x:c r="A136" s="40" t="n">
        <x:v>132</x:v>
      </x:c>
      <x:c r="B136" s="40" t="n">
        <x:v>8</x:v>
      </x:c>
      <x:c r="C136" s="40" t="n">
        <x:v>13</x:v>
      </x:c>
      <x:c r="D136" s="36" t="str">
        <x:v>direita → esquerda</x:v>
      </x:c>
      <x:c r="E136" s="41" t="n">
        <x:v>0.19999999999999996</x:v>
      </x:c>
      <x:c r="F136" s="41" t="n">
        <x:v>-0.25</x:v>
      </x:c>
      <x:c r="G136" s="99" t="n">
        <x:v>21.0367</x:v>
      </x:c>
    </x:row>
    <x:row r="137">
      <x:c r="A137" s="40" t="n">
        <x:v>133</x:v>
      </x:c>
      <x:c r="B137" s="40" t="n">
        <x:v>8</x:v>
      </x:c>
      <x:c r="C137" s="40" t="n">
        <x:v>14</x:v>
      </x:c>
      <x:c r="D137" s="36" t="str">
        <x:v>direita → esquerda</x:v>
      </x:c>
      <x:c r="E137" s="41" t="n">
        <x:v>-0.050000000000000044</x:v>
      </x:c>
      <x:c r="F137" s="41" t="n">
        <x:v>-0.25</x:v>
      </x:c>
      <x:c r="G137" s="99" t="n">
        <x:v>28.4718</x:v>
      </x:c>
    </x:row>
    <x:row r="138">
      <x:c r="A138" s="40" t="n">
        <x:v>134</x:v>
      </x:c>
      <x:c r="B138" s="40" t="n">
        <x:v>8</x:v>
      </x:c>
      <x:c r="C138" s="40" t="n">
        <x:v>15</x:v>
      </x:c>
      <x:c r="D138" s="36" t="str">
        <x:v>direita → esquerda</x:v>
      </x:c>
      <x:c r="E138" s="41" t="n">
        <x:v>-0.30000000000000004</x:v>
      </x:c>
      <x:c r="F138" s="41" t="n">
        <x:v>-0.25</x:v>
      </x:c>
      <x:c r="G138" s="99" t="n">
        <x:v>28.4407</x:v>
      </x:c>
    </x:row>
    <x:row r="139">
      <x:c r="A139" s="40" t="n">
        <x:v>135</x:v>
      </x:c>
      <x:c r="B139" s="40" t="n">
        <x:v>8</x:v>
      </x:c>
      <x:c r="C139" s="40" t="n">
        <x:v>16</x:v>
      </x:c>
      <x:c r="D139" s="36" t="str">
        <x:v>direita → esquerda</x:v>
      </x:c>
      <x:c r="E139" s="41" t="n">
        <x:v>-0.55</x:v>
      </x:c>
      <x:c r="F139" s="41" t="n">
        <x:v>-0.25</x:v>
      </x:c>
      <x:c r="G139" s="99" t="n">
        <x:v>32.9466</x:v>
      </x:c>
    </x:row>
    <x:row r="140">
      <x:c r="A140" s="40" t="n">
        <x:v>136</x:v>
      </x:c>
      <x:c r="B140" s="40" t="n">
        <x:v>8</x:v>
      </x:c>
      <x:c r="C140" s="40" t="n">
        <x:v>17</x:v>
      </x:c>
      <x:c r="D140" s="36" t="str">
        <x:v>direita → esquerda</x:v>
      </x:c>
      <x:c r="E140" s="41" t="n">
        <x:v>-0.8</x:v>
      </x:c>
      <x:c r="F140" s="41" t="n">
        <x:v>-0.25</x:v>
      </x:c>
      <x:c r="G140" s="99" t="n">
        <x:v>40.2022</x:v>
      </x:c>
    </x:row>
    <x:row r="141">
      <x:c r="A141" s="40" t="n">
        <x:v>137</x:v>
      </x:c>
      <x:c r="B141" s="40" t="n">
        <x:v>9</x:v>
      </x:c>
      <x:c r="C141" s="40" t="n">
        <x:v>1</x:v>
      </x:c>
      <x:c r="D141" s="36" t="str">
        <x:v>esquerda → direita</x:v>
      </x:c>
      <x:c r="E141" s="41" t="n">
        <x:v>-0.8</x:v>
      </x:c>
      <x:c r="F141" s="41" t="n">
        <x:v>0</x:v>
      </x:c>
      <x:c r="G141" s="99" t="n">
        <x:v>37.2824</x:v>
      </x:c>
    </x:row>
    <x:row r="142">
      <x:c r="A142" s="40" t="n">
        <x:v>138</x:v>
      </x:c>
      <x:c r="B142" s="40" t="n">
        <x:v>9</x:v>
      </x:c>
      <x:c r="C142" s="40" t="n">
        <x:v>2</x:v>
      </x:c>
      <x:c r="D142" s="36" t="str">
        <x:v>esquerda → direita</x:v>
      </x:c>
      <x:c r="E142" s="41" t="n">
        <x:v>-0.55</x:v>
      </x:c>
      <x:c r="F142" s="41" t="n">
        <x:v>0</x:v>
      </x:c>
      <x:c r="G142" s="99" t="n">
        <x:v>37.2116</x:v>
      </x:c>
    </x:row>
    <x:row r="143">
      <x:c r="A143" s="40" t="n">
        <x:v>139</x:v>
      </x:c>
      <x:c r="B143" s="40" t="n">
        <x:v>9</x:v>
      </x:c>
      <x:c r="C143" s="40" t="n">
        <x:v>3</x:v>
      </x:c>
      <x:c r="D143" s="36" t="str">
        <x:v>esquerda → direita</x:v>
      </x:c>
      <x:c r="E143" s="41" t="n">
        <x:v>-0.30000000000000004</x:v>
      </x:c>
      <x:c r="F143" s="41" t="n">
        <x:v>0</x:v>
      </x:c>
      <x:c r="G143" s="99" t="n">
        <x:v>28.5143</x:v>
      </x:c>
    </x:row>
    <x:row r="144">
      <x:c r="A144" s="40" t="n">
        <x:v>140</x:v>
      </x:c>
      <x:c r="B144" s="40" t="n">
        <x:v>9</x:v>
      </x:c>
      <x:c r="C144" s="40" t="n">
        <x:v>4</x:v>
      </x:c>
      <x:c r="D144" s="36" t="str">
        <x:v>esquerda → direita</x:v>
      </x:c>
      <x:c r="E144" s="41" t="n">
        <x:v>-0.050000000000000044</x:v>
      </x:c>
      <x:c r="F144" s="41" t="n">
        <x:v>0</x:v>
      </x:c>
      <x:c r="G144" s="99" t="n">
        <x:v>20.3707</x:v>
      </x:c>
    </x:row>
    <x:row r="145">
      <x:c r="A145" s="40" t="n">
        <x:v>141</x:v>
      </x:c>
      <x:c r="B145" s="40" t="n">
        <x:v>9</x:v>
      </x:c>
      <x:c r="C145" s="40" t="n">
        <x:v>5</x:v>
      </x:c>
      <x:c r="D145" s="36" t="str">
        <x:v>esquerda → direita</x:v>
      </x:c>
      <x:c r="E145" s="41" t="n">
        <x:v>0.19999999999999996</x:v>
      </x:c>
      <x:c r="F145" s="41" t="n">
        <x:v>0</x:v>
      </x:c>
      <x:c r="G145" s="99" t="n">
        <x:v>17.5407</x:v>
      </x:c>
    </x:row>
    <x:row r="146">
      <x:c r="A146" s="40" t="n">
        <x:v>142</x:v>
      </x:c>
      <x:c r="B146" s="40" t="n">
        <x:v>9</x:v>
      </x:c>
      <x:c r="C146" s="40" t="n">
        <x:v>6</x:v>
      </x:c>
      <x:c r="D146" s="36" t="str">
        <x:v>esquerda → direita</x:v>
      </x:c>
      <x:c r="E146" s="41" t="n">
        <x:v>0.44999999999999996</x:v>
      </x:c>
      <x:c r="F146" s="41" t="n">
        <x:v>0</x:v>
      </x:c>
      <x:c r="G146" s="99" t="n">
        <x:v>11.0948</x:v>
      </x:c>
    </x:row>
    <x:row r="147">
      <x:c r="A147" s="40" t="n">
        <x:v>143</x:v>
      </x:c>
      <x:c r="B147" s="40" t="n">
        <x:v>9</x:v>
      </x:c>
      <x:c r="C147" s="40" t="n">
        <x:v>7</x:v>
      </x:c>
      <x:c r="D147" s="36" t="str">
        <x:v>esquerda → direita</x:v>
      </x:c>
      <x:c r="E147" s="41" t="n">
        <x:v>0.7</x:v>
      </x:c>
      <x:c r="F147" s="41" t="n">
        <x:v>0</x:v>
      </x:c>
      <x:c r="G147" s="99" t="n">
        <x:v>10.2897</x:v>
      </x:c>
    </x:row>
    <x:row r="148">
      <x:c r="A148" s="40" t="n">
        <x:v>144</x:v>
      </x:c>
      <x:c r="B148" s="40" t="n">
        <x:v>9</x:v>
      </x:c>
      <x:c r="C148" s="40" t="n">
        <x:v>8</x:v>
      </x:c>
      <x:c r="D148" s="36" t="str">
        <x:v>esquerda → direita</x:v>
      </x:c>
      <x:c r="E148" s="41" t="n">
        <x:v>0.95</x:v>
      </x:c>
      <x:c r="F148" s="41" t="n">
        <x:v>0</x:v>
      </x:c>
      <x:c r="G148" s="99" t="n">
        <x:v>9.408</x:v>
      </x:c>
    </x:row>
    <x:row r="149">
      <x:c r="A149" s="40" t="n">
        <x:v>145</x:v>
      </x:c>
      <x:c r="B149" s="40" t="n">
        <x:v>9</x:v>
      </x:c>
      <x:c r="C149" s="40" t="n">
        <x:v>9</x:v>
      </x:c>
      <x:c r="D149" s="36" t="str">
        <x:v>esquerda → direita</x:v>
      </x:c>
      <x:c r="E149" s="41" t="n">
        <x:v>1.2</x:v>
      </x:c>
      <x:c r="F149" s="41" t="n">
        <x:v>0</x:v>
      </x:c>
      <x:c r="G149" s="99" t="n">
        <x:v>8.464</x:v>
      </x:c>
    </x:row>
    <x:row r="150">
      <x:c r="A150" s="40" t="n">
        <x:v>146</x:v>
      </x:c>
      <x:c r="B150" s="40" t="n">
        <x:v>9</x:v>
      </x:c>
      <x:c r="C150" s="40" t="n">
        <x:v>10</x:v>
      </x:c>
      <x:c r="D150" s="36" t="str">
        <x:v>esquerda → direita</x:v>
      </x:c>
      <x:c r="E150" s="41" t="n">
        <x:v>1.45</x:v>
      </x:c>
      <x:c r="F150" s="41" t="n">
        <x:v>0</x:v>
      </x:c>
      <x:c r="G150" s="99" t="n">
        <x:v>10.1576</x:v>
      </x:c>
    </x:row>
    <x:row r="151">
      <x:c r="A151" s="40" t="n">
        <x:v>147</x:v>
      </x:c>
      <x:c r="B151" s="40" t="n">
        <x:v>9</x:v>
      </x:c>
      <x:c r="C151" s="40" t="n">
        <x:v>11</x:v>
      </x:c>
      <x:c r="D151" s="36" t="str">
        <x:v>esquerda → direita</x:v>
      </x:c>
      <x:c r="E151" s="41" t="n">
        <x:v>1.7</x:v>
      </x:c>
      <x:c r="F151" s="41" t="n">
        <x:v>0</x:v>
      </x:c>
      <x:c r="G151" s="99" t="n">
        <x:v>11.1775</x:v>
      </x:c>
    </x:row>
    <x:row r="152">
      <x:c r="A152" s="40" t="n">
        <x:v>148</x:v>
      </x:c>
      <x:c r="B152" s="40" t="n">
        <x:v>9</x:v>
      </x:c>
      <x:c r="C152" s="40" t="n">
        <x:v>12</x:v>
      </x:c>
      <x:c r="D152" s="36" t="str">
        <x:v>esquerda → direita</x:v>
      </x:c>
      <x:c r="E152" s="41" t="n">
        <x:v>1.95</x:v>
      </x:c>
      <x:c r="F152" s="41" t="n">
        <x:v>0</x:v>
      </x:c>
      <x:c r="G152" s="99" t="n">
        <x:v>12.5118</x:v>
      </x:c>
    </x:row>
    <x:row r="153">
      <x:c r="A153" s="40" t="n">
        <x:v>149</x:v>
      </x:c>
      <x:c r="B153" s="40" t="n">
        <x:v>9</x:v>
      </x:c>
      <x:c r="C153" s="40" t="n">
        <x:v>13</x:v>
      </x:c>
      <x:c r="D153" s="36" t="str">
        <x:v>esquerda → direita</x:v>
      </x:c>
      <x:c r="E153" s="41" t="n">
        <x:v>2.2</x:v>
      </x:c>
      <x:c r="F153" s="41" t="n">
        <x:v>0</x:v>
      </x:c>
      <x:c r="G153" s="99" t="n">
        <x:v>15.9226</x:v>
      </x:c>
    </x:row>
    <x:row r="154">
      <x:c r="A154" s="40" t="n">
        <x:v>150</x:v>
      </x:c>
      <x:c r="B154" s="40" t="n">
        <x:v>9</x:v>
      </x:c>
      <x:c r="C154" s="40" t="n">
        <x:v>14</x:v>
      </x:c>
      <x:c r="D154" s="36" t="str">
        <x:v>esquerda → direita</x:v>
      </x:c>
      <x:c r="E154" s="41" t="n">
        <x:v>2.45</x:v>
      </x:c>
      <x:c r="F154" s="41" t="n">
        <x:v>0</x:v>
      </x:c>
      <x:c r="G154" s="99" t="n">
        <x:v>24.1017</x:v>
      </x:c>
    </x:row>
    <x:row r="155">
      <x:c r="A155" s="40" t="n">
        <x:v>151</x:v>
      </x:c>
      <x:c r="B155" s="40" t="n">
        <x:v>9</x:v>
      </x:c>
      <x:c r="C155" s="40" t="n">
        <x:v>15</x:v>
      </x:c>
      <x:c r="D155" s="36" t="str">
        <x:v>esquerda → direita</x:v>
      </x:c>
      <x:c r="E155" s="41" t="n">
        <x:v>2.7</x:v>
      </x:c>
      <x:c r="F155" s="41" t="n">
        <x:v>0</x:v>
      </x:c>
      <x:c r="G155" s="99" t="n">
        <x:v>28.0567</x:v>
      </x:c>
    </x:row>
    <x:row r="156">
      <x:c r="A156" s="40" t="n">
        <x:v>152</x:v>
      </x:c>
      <x:c r="B156" s="40" t="n">
        <x:v>9</x:v>
      </x:c>
      <x:c r="C156" s="40" t="n">
        <x:v>16</x:v>
      </x:c>
      <x:c r="D156" s="36" t="str">
        <x:v>esquerda → direita</x:v>
      </x:c>
      <x:c r="E156" s="41" t="n">
        <x:v>2.95</x:v>
      </x:c>
      <x:c r="F156" s="41" t="n">
        <x:v>0</x:v>
      </x:c>
      <x:c r="G156" s="99" t="n">
        <x:v>32.7027</x:v>
      </x:c>
    </x:row>
    <x:row r="157">
      <x:c r="A157" s="40" t="n">
        <x:v>153</x:v>
      </x:c>
      <x:c r="B157" s="40" t="n">
        <x:v>9</x:v>
      </x:c>
      <x:c r="C157" s="40" t="n">
        <x:v>17</x:v>
      </x:c>
      <x:c r="D157" s="36" t="str">
        <x:v>esquerda → direita</x:v>
      </x:c>
      <x:c r="E157" s="41" t="n">
        <x:v>3.2</x:v>
      </x:c>
      <x:c r="F157" s="41" t="n">
        <x:v>0</x:v>
      </x:c>
      <x:c r="G157" s="99" t="n">
        <x:v>34.8147</x:v>
      </x:c>
    </x:row>
    <x:row r="158">
      <x:c r="A158" s="40" t="n">
        <x:v>154</x:v>
      </x:c>
      <x:c r="B158" s="40" t="n">
        <x:v>10</x:v>
      </x:c>
      <x:c r="C158" s="40" t="n">
        <x:v>1</x:v>
      </x:c>
      <x:c r="D158" s="36" t="str">
        <x:v>direita → esquerda</x:v>
      </x:c>
      <x:c r="E158" s="41" t="n">
        <x:v>3.2</x:v>
      </x:c>
      <x:c r="F158" s="41" t="n">
        <x:v>0.25</x:v>
      </x:c>
      <x:c r="G158" s="99" t="n">
        <x:v>33.3036</x:v>
      </x:c>
    </x:row>
    <x:row r="159">
      <x:c r="A159" s="40" t="n">
        <x:v>155</x:v>
      </x:c>
      <x:c r="B159" s="40" t="n">
        <x:v>10</x:v>
      </x:c>
      <x:c r="C159" s="40" t="n">
        <x:v>2</x:v>
      </x:c>
      <x:c r="D159" s="36" t="str">
        <x:v>direita → esquerda</x:v>
      </x:c>
      <x:c r="E159" s="41" t="n">
        <x:v>2.95</x:v>
      </x:c>
      <x:c r="F159" s="41" t="n">
        <x:v>0.25</x:v>
      </x:c>
      <x:c r="G159" s="99" t="n">
        <x:v>35.1793</x:v>
      </x:c>
    </x:row>
    <x:row r="160">
      <x:c r="A160" s="40" t="n">
        <x:v>156</x:v>
      </x:c>
      <x:c r="B160" s="40" t="n">
        <x:v>10</x:v>
      </x:c>
      <x:c r="C160" s="40" t="n">
        <x:v>3</x:v>
      </x:c>
      <x:c r="D160" s="36" t="str">
        <x:v>direita → esquerda</x:v>
      </x:c>
      <x:c r="E160" s="41" t="n">
        <x:v>2.7</x:v>
      </x:c>
      <x:c r="F160" s="41" t="n">
        <x:v>0.25</x:v>
      </x:c>
      <x:c r="G160" s="99" t="n">
        <x:v>28.049</x:v>
      </x:c>
    </x:row>
    <x:row r="161">
      <x:c r="A161" s="40" t="n">
        <x:v>157</x:v>
      </x:c>
      <x:c r="B161" s="40" t="n">
        <x:v>10</x:v>
      </x:c>
      <x:c r="C161" s="40" t="n">
        <x:v>4</x:v>
      </x:c>
      <x:c r="D161" s="36" t="str">
        <x:v>direita → esquerda</x:v>
      </x:c>
      <x:c r="E161" s="41" t="n">
        <x:v>2.45</x:v>
      </x:c>
      <x:c r="F161" s="41" t="n">
        <x:v>0.25</x:v>
      </x:c>
      <x:c r="G161" s="99" t="n">
        <x:v>25.9309</x:v>
      </x:c>
    </x:row>
    <x:row r="162">
      <x:c r="A162" s="40" t="n">
        <x:v>158</x:v>
      </x:c>
      <x:c r="B162" s="40" t="n">
        <x:v>10</x:v>
      </x:c>
      <x:c r="C162" s="40" t="n">
        <x:v>5</x:v>
      </x:c>
      <x:c r="D162" s="36" t="str">
        <x:v>direita → esquerda</x:v>
      </x:c>
      <x:c r="E162" s="41" t="n">
        <x:v>2.2</x:v>
      </x:c>
      <x:c r="F162" s="41" t="n">
        <x:v>0.25</x:v>
      </x:c>
      <x:c r="G162" s="99" t="n">
        <x:v>19.0675</x:v>
      </x:c>
    </x:row>
    <x:row r="163">
      <x:c r="A163" s="40" t="n">
        <x:v>159</x:v>
      </x:c>
      <x:c r="B163" s="40" t="n">
        <x:v>10</x:v>
      </x:c>
      <x:c r="C163" s="40" t="n">
        <x:v>6</x:v>
      </x:c>
      <x:c r="D163" s="36" t="str">
        <x:v>direita → esquerda</x:v>
      </x:c>
      <x:c r="E163" s="41" t="n">
        <x:v>1.95</x:v>
      </x:c>
      <x:c r="F163" s="41" t="n">
        <x:v>0.25</x:v>
      </x:c>
      <x:c r="G163" s="99" t="n">
        <x:v>19.7869</x:v>
      </x:c>
    </x:row>
    <x:row r="164">
      <x:c r="A164" s="40" t="n">
        <x:v>160</x:v>
      </x:c>
      <x:c r="B164" s="40" t="n">
        <x:v>10</x:v>
      </x:c>
      <x:c r="C164" s="40" t="n">
        <x:v>7</x:v>
      </x:c>
      <x:c r="D164" s="36" t="str">
        <x:v>direita → esquerda</x:v>
      </x:c>
      <x:c r="E164" s="41" t="n">
        <x:v>1.7</x:v>
      </x:c>
      <x:c r="F164" s="41" t="n">
        <x:v>0.25</x:v>
      </x:c>
      <x:c r="G164" s="99" t="n">
        <x:v>18.3219</x:v>
      </x:c>
    </x:row>
    <x:row r="165">
      <x:c r="A165" s="40" t="n">
        <x:v>161</x:v>
      </x:c>
      <x:c r="B165" s="40" t="n">
        <x:v>10</x:v>
      </x:c>
      <x:c r="C165" s="40" t="n">
        <x:v>8</x:v>
      </x:c>
      <x:c r="D165" s="36" t="str">
        <x:v>direita → esquerda</x:v>
      </x:c>
      <x:c r="E165" s="41" t="n">
        <x:v>1.45</x:v>
      </x:c>
      <x:c r="F165" s="41" t="n">
        <x:v>0.25</x:v>
      </x:c>
      <x:c r="G165" s="99" t="n">
        <x:v>17.2899</x:v>
      </x:c>
    </x:row>
    <x:row r="166">
      <x:c r="A166" s="40" t="n">
        <x:v>162</x:v>
      </x:c>
      <x:c r="B166" s="40" t="n">
        <x:v>10</x:v>
      </x:c>
      <x:c r="C166" s="40" t="n">
        <x:v>9</x:v>
      </x:c>
      <x:c r="D166" s="36" t="str">
        <x:v>direita → esquerda</x:v>
      </x:c>
      <x:c r="E166" s="41" t="n">
        <x:v>1.2</x:v>
      </x:c>
      <x:c r="F166" s="41" t="n">
        <x:v>0.25</x:v>
      </x:c>
      <x:c r="G166" s="99" t="n">
        <x:v>19.24</x:v>
      </x:c>
    </x:row>
    <x:row r="167">
      <x:c r="A167" s="40" t="n">
        <x:v>163</x:v>
      </x:c>
      <x:c r="B167" s="40" t="n">
        <x:v>10</x:v>
      </x:c>
      <x:c r="C167" s="40" t="n">
        <x:v>10</x:v>
      </x:c>
      <x:c r="D167" s="36" t="str">
        <x:v>direita → esquerda</x:v>
      </x:c>
      <x:c r="E167" s="41" t="n">
        <x:v>0.95</x:v>
      </x:c>
      <x:c r="F167" s="41" t="n">
        <x:v>0.25</x:v>
      </x:c>
      <x:c r="G167" s="99" t="n">
        <x:v>17.2536</x:v>
      </x:c>
    </x:row>
    <x:row r="168">
      <x:c r="A168" s="40" t="n">
        <x:v>164</x:v>
      </x:c>
      <x:c r="B168" s="40" t="n">
        <x:v>10</x:v>
      </x:c>
      <x:c r="C168" s="40" t="n">
        <x:v>11</x:v>
      </x:c>
      <x:c r="D168" s="36" t="str">
        <x:v>direita → esquerda</x:v>
      </x:c>
      <x:c r="E168" s="41" t="n">
        <x:v>0.7</x:v>
      </x:c>
      <x:c r="F168" s="41" t="n">
        <x:v>0.25</x:v>
      </x:c>
      <x:c r="G168" s="99" t="n">
        <x:v>16.4634</x:v>
      </x:c>
    </x:row>
    <x:row r="169">
      <x:c r="A169" s="40" t="n">
        <x:v>165</x:v>
      </x:c>
      <x:c r="B169" s="40" t="n">
        <x:v>10</x:v>
      </x:c>
      <x:c r="C169" s="40" t="n">
        <x:v>12</x:v>
      </x:c>
      <x:c r="D169" s="36" t="str">
        <x:v>direita → esquerda</x:v>
      </x:c>
      <x:c r="E169" s="41" t="n">
        <x:v>0.44999999999999996</x:v>
      </x:c>
      <x:c r="F169" s="41" t="n">
        <x:v>0.25</x:v>
      </x:c>
      <x:c r="G169" s="99" t="n">
        <x:v>22.3348</x:v>
      </x:c>
    </x:row>
    <x:row r="170">
      <x:c r="A170" s="40" t="n">
        <x:v>166</x:v>
      </x:c>
      <x:c r="B170" s="40" t="n">
        <x:v>10</x:v>
      </x:c>
      <x:c r="C170" s="40" t="n">
        <x:v>13</x:v>
      </x:c>
      <x:c r="D170" s="36" t="str">
        <x:v>direita → esquerda</x:v>
      </x:c>
      <x:c r="E170" s="41" t="n">
        <x:v>0.19999999999999996</x:v>
      </x:c>
      <x:c r="F170" s="41" t="n">
        <x:v>0.25</x:v>
      </x:c>
      <x:c r="G170" s="99" t="n">
        <x:v>20.8454</x:v>
      </x:c>
    </x:row>
    <x:row r="171">
      <x:c r="A171" s="40" t="n">
        <x:v>167</x:v>
      </x:c>
      <x:c r="B171" s="40" t="n">
        <x:v>10</x:v>
      </x:c>
      <x:c r="C171" s="40" t="n">
        <x:v>14</x:v>
      </x:c>
      <x:c r="D171" s="36" t="str">
        <x:v>direita → esquerda</x:v>
      </x:c>
      <x:c r="E171" s="41" t="n">
        <x:v>-0.050000000000000044</x:v>
      </x:c>
      <x:c r="F171" s="41" t="n">
        <x:v>0.25</x:v>
      </x:c>
      <x:c r="G171" s="99" t="n">
        <x:v>27.9027</x:v>
      </x:c>
    </x:row>
    <x:row r="172">
      <x:c r="A172" s="40" t="n">
        <x:v>168</x:v>
      </x:c>
      <x:c r="B172" s="40" t="n">
        <x:v>10</x:v>
      </x:c>
      <x:c r="C172" s="40" t="n">
        <x:v>15</x:v>
      </x:c>
      <x:c r="D172" s="36" t="str">
        <x:v>direita → esquerda</x:v>
      </x:c>
      <x:c r="E172" s="41" t="n">
        <x:v>-0.30000000000000004</x:v>
      </x:c>
      <x:c r="F172" s="41" t="n">
        <x:v>0.25</x:v>
      </x:c>
      <x:c r="G172" s="99" t="n">
        <x:v>32.0748</x:v>
      </x:c>
    </x:row>
    <x:row r="173">
      <x:c r="A173" s="40" t="n">
        <x:v>169</x:v>
      </x:c>
      <x:c r="B173" s="40" t="n">
        <x:v>10</x:v>
      </x:c>
      <x:c r="C173" s="40" t="n">
        <x:v>16</x:v>
      </x:c>
      <x:c r="D173" s="36" t="str">
        <x:v>direita → esquerda</x:v>
      </x:c>
      <x:c r="E173" s="41" t="n">
        <x:v>-0.55</x:v>
      </x:c>
      <x:c r="F173" s="41" t="n">
        <x:v>0.25</x:v>
      </x:c>
      <x:c r="G173" s="99" t="n">
        <x:v>31.4446</x:v>
      </x:c>
    </x:row>
    <x:row r="174">
      <x:c r="A174" s="40" t="n">
        <x:v>170</x:v>
      </x:c>
      <x:c r="B174" s="40" t="n">
        <x:v>10</x:v>
      </x:c>
      <x:c r="C174" s="40" t="n">
        <x:v>17</x:v>
      </x:c>
      <x:c r="D174" s="36" t="str">
        <x:v>direita → esquerda</x:v>
      </x:c>
      <x:c r="E174" s="41" t="n">
        <x:v>-0.8</x:v>
      </x:c>
      <x:c r="F174" s="41" t="n">
        <x:v>0.25</x:v>
      </x:c>
      <x:c r="G174" s="99" t="n">
        <x:v>38.0262</x:v>
      </x:c>
    </x:row>
    <x:row r="175">
      <x:c r="A175" s="40" t="n">
        <x:v>171</x:v>
      </x:c>
      <x:c r="B175" s="40" t="n">
        <x:v>11</x:v>
      </x:c>
      <x:c r="C175" s="40" t="n">
        <x:v>1</x:v>
      </x:c>
      <x:c r="D175" s="36" t="str">
        <x:v>esquerda → direita</x:v>
      </x:c>
      <x:c r="E175" s="41" t="n">
        <x:v>-0.8</x:v>
      </x:c>
      <x:c r="F175" s="41" t="n">
        <x:v>0.5</x:v>
      </x:c>
      <x:c r="G175" s="99" t="n">
        <x:v>36.1381</x:v>
      </x:c>
    </x:row>
    <x:row r="176">
      <x:c r="A176" s="40" t="n">
        <x:v>172</x:v>
      </x:c>
      <x:c r="B176" s="40" t="n">
        <x:v>11</x:v>
      </x:c>
      <x:c r="C176" s="40" t="n">
        <x:v>2</x:v>
      </x:c>
      <x:c r="D176" s="36" t="str">
        <x:v>esquerda → direita</x:v>
      </x:c>
      <x:c r="E176" s="41" t="n">
        <x:v>-0.55</x:v>
      </x:c>
      <x:c r="F176" s="41" t="n">
        <x:v>0.5</x:v>
      </x:c>
      <x:c r="G176" s="99" t="n">
        <x:v>35.1657</x:v>
      </x:c>
    </x:row>
    <x:row r="177">
      <x:c r="A177" s="40" t="n">
        <x:v>173</x:v>
      </x:c>
      <x:c r="B177" s="40" t="n">
        <x:v>11</x:v>
      </x:c>
      <x:c r="C177" s="40" t="n">
        <x:v>3</x:v>
      </x:c>
      <x:c r="D177" s="36" t="str">
        <x:v>esquerda → direita</x:v>
      </x:c>
      <x:c r="E177" s="41" t="n">
        <x:v>-0.30000000000000004</x:v>
      </x:c>
      <x:c r="F177" s="41" t="n">
        <x:v>0.5</x:v>
      </x:c>
      <x:c r="G177" s="99" t="n">
        <x:v>30.7478</x:v>
      </x:c>
    </x:row>
    <x:row r="178">
      <x:c r="A178" s="40" t="n">
        <x:v>174</x:v>
      </x:c>
      <x:c r="B178" s="40" t="n">
        <x:v>11</x:v>
      </x:c>
      <x:c r="C178" s="40" t="n">
        <x:v>4</x:v>
      </x:c>
      <x:c r="D178" s="36" t="str">
        <x:v>esquerda → direita</x:v>
      </x:c>
      <x:c r="E178" s="41" t="n">
        <x:v>-0.050000000000000044</x:v>
      </x:c>
      <x:c r="F178" s="41" t="n">
        <x:v>0.5</x:v>
      </x:c>
      <x:c r="G178" s="99" t="n">
        <x:v>32.1989</x:v>
      </x:c>
    </x:row>
    <x:row r="179">
      <x:c r="A179" s="40" t="n">
        <x:v>175</x:v>
      </x:c>
      <x:c r="B179" s="40" t="n">
        <x:v>11</x:v>
      </x:c>
      <x:c r="C179" s="40" t="n">
        <x:v>5</x:v>
      </x:c>
      <x:c r="D179" s="36" t="str">
        <x:v>esquerda → direita</x:v>
      </x:c>
      <x:c r="E179" s="41" t="n">
        <x:v>0.19999999999999996</x:v>
      </x:c>
      <x:c r="F179" s="41" t="n">
        <x:v>0.5</x:v>
      </x:c>
      <x:c r="G179" s="99" t="n">
        <x:v>25.9419</x:v>
      </x:c>
    </x:row>
    <x:row r="180">
      <x:c r="A180" s="40" t="n">
        <x:v>176</x:v>
      </x:c>
      <x:c r="B180" s="40" t="n">
        <x:v>11</x:v>
      </x:c>
      <x:c r="C180" s="40" t="n">
        <x:v>6</x:v>
      </x:c>
      <x:c r="D180" s="36" t="str">
        <x:v>esquerda → direita</x:v>
      </x:c>
      <x:c r="E180" s="41" t="n">
        <x:v>0.44999999999999996</x:v>
      </x:c>
      <x:c r="F180" s="41" t="n">
        <x:v>0.5</x:v>
      </x:c>
      <x:c r="G180" s="99" t="n">
        <x:v>22.7023</x:v>
      </x:c>
    </x:row>
    <x:row r="181">
      <x:c r="A181" s="40" t="n">
        <x:v>177</x:v>
      </x:c>
      <x:c r="B181" s="40" t="n">
        <x:v>11</x:v>
      </x:c>
      <x:c r="C181" s="40" t="n">
        <x:v>7</x:v>
      </x:c>
      <x:c r="D181" s="36" t="str">
        <x:v>esquerda → direita</x:v>
      </x:c>
      <x:c r="E181" s="41" t="n">
        <x:v>0.7</x:v>
      </x:c>
      <x:c r="F181" s="41" t="n">
        <x:v>0.5</x:v>
      </x:c>
      <x:c r="G181" s="99" t="n">
        <x:v>26.4404</x:v>
      </x:c>
    </x:row>
    <x:row r="182">
      <x:c r="A182" s="40" t="n">
        <x:v>178</x:v>
      </x:c>
      <x:c r="B182" s="40" t="n">
        <x:v>11</x:v>
      </x:c>
      <x:c r="C182" s="40" t="n">
        <x:v>8</x:v>
      </x:c>
      <x:c r="D182" s="36" t="str">
        <x:v>esquerda → direita</x:v>
      </x:c>
      <x:c r="E182" s="41" t="n">
        <x:v>0.95</x:v>
      </x:c>
      <x:c r="F182" s="41" t="n">
        <x:v>0.5</x:v>
      </x:c>
      <x:c r="G182" s="99" t="n">
        <x:v>22.973</x:v>
      </x:c>
    </x:row>
    <x:row r="183">
      <x:c r="A183" s="40" t="n">
        <x:v>179</x:v>
      </x:c>
      <x:c r="B183" s="40" t="n">
        <x:v>11</x:v>
      </x:c>
      <x:c r="C183" s="40" t="n">
        <x:v>9</x:v>
      </x:c>
      <x:c r="D183" s="36" t="str">
        <x:v>esquerda → direita</x:v>
      </x:c>
      <x:c r="E183" s="41" t="n">
        <x:v>1.2</x:v>
      </x:c>
      <x:c r="F183" s="41" t="n">
        <x:v>0.5</x:v>
      </x:c>
      <x:c r="G183" s="99" t="n">
        <x:v>23.4501</x:v>
      </x:c>
    </x:row>
    <x:row r="184">
      <x:c r="A184" s="40" t="n">
        <x:v>180</x:v>
      </x:c>
      <x:c r="B184" s="40" t="n">
        <x:v>11</x:v>
      </x:c>
      <x:c r="C184" s="40" t="n">
        <x:v>10</x:v>
      </x:c>
      <x:c r="D184" s="36" t="str">
        <x:v>esquerda → direita</x:v>
      </x:c>
      <x:c r="E184" s="41" t="n">
        <x:v>1.45</x:v>
      </x:c>
      <x:c r="F184" s="41" t="n">
        <x:v>0.5</x:v>
      </x:c>
      <x:c r="G184" s="99" t="n">
        <x:v>26.4437</x:v>
      </x:c>
    </x:row>
    <x:row r="185">
      <x:c r="A185" s="40" t="n">
        <x:v>181</x:v>
      </x:c>
      <x:c r="B185" s="40" t="n">
        <x:v>11</x:v>
      </x:c>
      <x:c r="C185" s="40" t="n">
        <x:v>11</x:v>
      </x:c>
      <x:c r="D185" s="36" t="str">
        <x:v>esquerda → direita</x:v>
      </x:c>
      <x:c r="E185" s="41" t="n">
        <x:v>1.7</x:v>
      </x:c>
      <x:c r="F185" s="41" t="n">
        <x:v>0.5</x:v>
      </x:c>
      <x:c r="G185" s="99" t="n">
        <x:v>26.2722</x:v>
      </x:c>
    </x:row>
    <x:row r="186">
      <x:c r="A186" s="40" t="n">
        <x:v>182</x:v>
      </x:c>
      <x:c r="B186" s="40" t="n">
        <x:v>11</x:v>
      </x:c>
      <x:c r="C186" s="40" t="n">
        <x:v>12</x:v>
      </x:c>
      <x:c r="D186" s="36" t="str">
        <x:v>esquerda → direita</x:v>
      </x:c>
      <x:c r="E186" s="41" t="n">
        <x:v>1.95</x:v>
      </x:c>
      <x:c r="F186" s="41" t="n">
        <x:v>0.5</x:v>
      </x:c>
      <x:c r="G186" s="99" t="n">
        <x:v>26.6052</x:v>
      </x:c>
    </x:row>
    <x:row r="187">
      <x:c r="A187" s="40" t="n">
        <x:v>183</x:v>
      </x:c>
      <x:c r="B187" s="40" t="n">
        <x:v>11</x:v>
      </x:c>
      <x:c r="C187" s="40" t="n">
        <x:v>13</x:v>
      </x:c>
      <x:c r="D187" s="36" t="str">
        <x:v>esquerda → direita</x:v>
      </x:c>
      <x:c r="E187" s="41" t="n">
        <x:v>2.2</x:v>
      </x:c>
      <x:c r="F187" s="41" t="n">
        <x:v>0.5</x:v>
      </x:c>
      <x:c r="G187" s="99" t="n">
        <x:v>29.3371</x:v>
      </x:c>
    </x:row>
    <x:row r="188">
      <x:c r="A188" s="40" t="n">
        <x:v>184</x:v>
      </x:c>
      <x:c r="B188" s="40" t="n">
        <x:v>11</x:v>
      </x:c>
      <x:c r="C188" s="40" t="n">
        <x:v>14</x:v>
      </x:c>
      <x:c r="D188" s="36" t="str">
        <x:v>esquerda → direita</x:v>
      </x:c>
      <x:c r="E188" s="41" t="n">
        <x:v>2.45</x:v>
      </x:c>
      <x:c r="F188" s="41" t="n">
        <x:v>0.5</x:v>
      </x:c>
      <x:c r="G188" s="99" t="n">
        <x:v>28.5668</x:v>
      </x:c>
    </x:row>
    <x:row r="189">
      <x:c r="A189" s="40" t="n">
        <x:v>185</x:v>
      </x:c>
      <x:c r="B189" s="40" t="n">
        <x:v>11</x:v>
      </x:c>
      <x:c r="C189" s="40" t="n">
        <x:v>15</x:v>
      </x:c>
      <x:c r="D189" s="36" t="str">
        <x:v>esquerda → direita</x:v>
      </x:c>
      <x:c r="E189" s="41" t="n">
        <x:v>2.7</x:v>
      </x:c>
      <x:c r="F189" s="41" t="n">
        <x:v>0.5</x:v>
      </x:c>
      <x:c r="G189" s="99" t="n">
        <x:v>33.7772</x:v>
      </x:c>
    </x:row>
    <x:row r="190">
      <x:c r="A190" s="40" t="n">
        <x:v>186</x:v>
      </x:c>
      <x:c r="B190" s="40" t="n">
        <x:v>11</x:v>
      </x:c>
      <x:c r="C190" s="40" t="n">
        <x:v>16</x:v>
      </x:c>
      <x:c r="D190" s="36" t="str">
        <x:v>esquerda → direita</x:v>
      </x:c>
      <x:c r="E190" s="41" t="n">
        <x:v>2.95</x:v>
      </x:c>
      <x:c r="F190" s="41" t="n">
        <x:v>0.5</x:v>
      </x:c>
      <x:c r="G190" s="99" t="n">
        <x:v>36.5166</x:v>
      </x:c>
    </x:row>
    <x:row r="191">
      <x:c r="A191" s="40" t="n">
        <x:v>187</x:v>
      </x:c>
      <x:c r="B191" s="40" t="n">
        <x:v>11</x:v>
      </x:c>
      <x:c r="C191" s="40" t="n">
        <x:v>17</x:v>
      </x:c>
      <x:c r="D191" s="36" t="str">
        <x:v>esquerda → direita</x:v>
      </x:c>
      <x:c r="E191" s="41" t="n">
        <x:v>3.2</x:v>
      </x:c>
      <x:c r="F191" s="41" t="n">
        <x:v>0.5</x:v>
      </x:c>
      <x:c r="G191" s="99" t="n">
        <x:v>37.269</x:v>
      </x:c>
    </x:row>
    <x:row r="192">
      <x:c r="A192" s="40" t="n">
        <x:v>188</x:v>
      </x:c>
      <x:c r="B192" s="40" t="n">
        <x:v>12</x:v>
      </x:c>
      <x:c r="C192" s="40" t="n">
        <x:v>1</x:v>
      </x:c>
      <x:c r="D192" s="36" t="str">
        <x:v>direita → esquerda</x:v>
      </x:c>
      <x:c r="E192" s="41" t="n">
        <x:v>3.2</x:v>
      </x:c>
      <x:c r="F192" s="41" t="n">
        <x:v>0.75</x:v>
      </x:c>
      <x:c r="G192" s="99" t="n">
        <x:v>35.6727</x:v>
      </x:c>
    </x:row>
    <x:row r="193">
      <x:c r="A193" s="40" t="n">
        <x:v>189</x:v>
      </x:c>
      <x:c r="B193" s="40" t="n">
        <x:v>12</x:v>
      </x:c>
      <x:c r="C193" s="40" t="n">
        <x:v>2</x:v>
      </x:c>
      <x:c r="D193" s="36" t="str">
        <x:v>direita → esquerda</x:v>
      </x:c>
      <x:c r="E193" s="41" t="n">
        <x:v>2.95</x:v>
      </x:c>
      <x:c r="F193" s="41" t="n">
        <x:v>0.75</x:v>
      </x:c>
      <x:c r="G193" s="99" t="n">
        <x:v>28.8897</x:v>
      </x:c>
    </x:row>
    <x:row r="194">
      <x:c r="A194" s="40" t="n">
        <x:v>190</x:v>
      </x:c>
      <x:c r="B194" s="40" t="n">
        <x:v>12</x:v>
      </x:c>
      <x:c r="C194" s="40" t="n">
        <x:v>3</x:v>
      </x:c>
      <x:c r="D194" s="36" t="str">
        <x:v>direita → esquerda</x:v>
      </x:c>
      <x:c r="E194" s="41" t="n">
        <x:v>2.7</x:v>
      </x:c>
      <x:c r="F194" s="41" t="n">
        <x:v>0.75</x:v>
      </x:c>
      <x:c r="G194" s="99" t="n">
        <x:v>34.913</x:v>
      </x:c>
    </x:row>
    <x:row r="195">
      <x:c r="A195" s="40" t="n">
        <x:v>191</x:v>
      </x:c>
      <x:c r="B195" s="40" t="n">
        <x:v>12</x:v>
      </x:c>
      <x:c r="C195" s="40" t="n">
        <x:v>4</x:v>
      </x:c>
      <x:c r="D195" s="36" t="str">
        <x:v>direita → esquerda</x:v>
      </x:c>
      <x:c r="E195" s="41" t="n">
        <x:v>2.45</x:v>
      </x:c>
      <x:c r="F195" s="41" t="n">
        <x:v>0.75</x:v>
      </x:c>
      <x:c r="G195" s="99" t="n">
        <x:v>32.5188</x:v>
      </x:c>
    </x:row>
    <x:row r="196">
      <x:c r="A196" s="40" t="n">
        <x:v>192</x:v>
      </x:c>
      <x:c r="B196" s="40" t="n">
        <x:v>12</x:v>
      </x:c>
      <x:c r="C196" s="40" t="n">
        <x:v>5</x:v>
      </x:c>
      <x:c r="D196" s="36" t="str">
        <x:v>direita → esquerda</x:v>
      </x:c>
      <x:c r="E196" s="41" t="n">
        <x:v>2.2</x:v>
      </x:c>
      <x:c r="F196" s="41" t="n">
        <x:v>0.75</x:v>
      </x:c>
      <x:c r="G196" s="99" t="n">
        <x:v>30.1417</x:v>
      </x:c>
    </x:row>
    <x:row r="197">
      <x:c r="A197" s="40" t="n">
        <x:v>193</x:v>
      </x:c>
      <x:c r="B197" s="40" t="n">
        <x:v>12</x:v>
      </x:c>
      <x:c r="C197" s="40" t="n">
        <x:v>6</x:v>
      </x:c>
      <x:c r="D197" s="36" t="str">
        <x:v>direita → esquerda</x:v>
      </x:c>
      <x:c r="E197" s="41" t="n">
        <x:v>1.95</x:v>
      </x:c>
      <x:c r="F197" s="41" t="n">
        <x:v>0.75</x:v>
      </x:c>
      <x:c r="G197" s="99" t="n">
        <x:v>31.0468</x:v>
      </x:c>
    </x:row>
    <x:row r="198">
      <x:c r="A198" s="40" t="n">
        <x:v>194</x:v>
      </x:c>
      <x:c r="B198" s="40" t="n">
        <x:v>12</x:v>
      </x:c>
      <x:c r="C198" s="40" t="n">
        <x:v>7</x:v>
      </x:c>
      <x:c r="D198" s="36" t="str">
        <x:v>direita → esquerda</x:v>
      </x:c>
      <x:c r="E198" s="41" t="n">
        <x:v>1.7</x:v>
      </x:c>
      <x:c r="F198" s="41" t="n">
        <x:v>0.75</x:v>
      </x:c>
      <x:c r="G198" s="99" t="n">
        <x:v>29.2224</x:v>
      </x:c>
    </x:row>
    <x:row r="199">
      <x:c r="A199" s="40" t="n">
        <x:v>195</x:v>
      </x:c>
      <x:c r="B199" s="40" t="n">
        <x:v>12</x:v>
      </x:c>
      <x:c r="C199" s="40" t="n">
        <x:v>8</x:v>
      </x:c>
      <x:c r="D199" s="36" t="str">
        <x:v>direita → esquerda</x:v>
      </x:c>
      <x:c r="E199" s="41" t="n">
        <x:v>1.45</x:v>
      </x:c>
      <x:c r="F199" s="41" t="n">
        <x:v>0.75</x:v>
      </x:c>
      <x:c r="G199" s="99" t="n">
        <x:v>28.5983</x:v>
      </x:c>
    </x:row>
    <x:row r="200">
      <x:c r="A200" s="40" t="n">
        <x:v>196</x:v>
      </x:c>
      <x:c r="B200" s="40" t="n">
        <x:v>12</x:v>
      </x:c>
      <x:c r="C200" s="40" t="n">
        <x:v>9</x:v>
      </x:c>
      <x:c r="D200" s="36" t="str">
        <x:v>direita → esquerda</x:v>
      </x:c>
      <x:c r="E200" s="41" t="n">
        <x:v>1.2</x:v>
      </x:c>
      <x:c r="F200" s="41" t="n">
        <x:v>0.75</x:v>
      </x:c>
      <x:c r="G200" s="99" t="n">
        <x:v>25.5282</x:v>
      </x:c>
    </x:row>
    <x:row r="201">
      <x:c r="A201" s="40" t="n">
        <x:v>197</x:v>
      </x:c>
      <x:c r="B201" s="40" t="n">
        <x:v>12</x:v>
      </x:c>
      <x:c r="C201" s="40" t="n">
        <x:v>10</x:v>
      </x:c>
      <x:c r="D201" s="36" t="str">
        <x:v>direita → esquerda</x:v>
      </x:c>
      <x:c r="E201" s="41" t="n">
        <x:v>0.95</x:v>
      </x:c>
      <x:c r="F201" s="41" t="n">
        <x:v>0.75</x:v>
      </x:c>
      <x:c r="G201" s="99" t="n">
        <x:v>25.7491</x:v>
      </x:c>
    </x:row>
    <x:row r="202">
      <x:c r="A202" s="40" t="n">
        <x:v>198</x:v>
      </x:c>
      <x:c r="B202" s="40" t="n">
        <x:v>12</x:v>
      </x:c>
      <x:c r="C202" s="40" t="n">
        <x:v>11</x:v>
      </x:c>
      <x:c r="D202" s="36" t="str">
        <x:v>direita → esquerda</x:v>
      </x:c>
      <x:c r="E202" s="41" t="n">
        <x:v>0.7</x:v>
      </x:c>
      <x:c r="F202" s="41" t="n">
        <x:v>0.75</x:v>
      </x:c>
      <x:c r="G202" s="99" t="n">
        <x:v>29.4917</x:v>
      </x:c>
    </x:row>
    <x:row r="203">
      <x:c r="A203" s="40" t="n">
        <x:v>199</x:v>
      </x:c>
      <x:c r="B203" s="40" t="n">
        <x:v>12</x:v>
      </x:c>
      <x:c r="C203" s="40" t="n">
        <x:v>12</x:v>
      </x:c>
      <x:c r="D203" s="36" t="str">
        <x:v>direita → esquerda</x:v>
      </x:c>
      <x:c r="E203" s="41" t="n">
        <x:v>0.44999999999999996</x:v>
      </x:c>
      <x:c r="F203" s="41" t="n">
        <x:v>0.75</x:v>
      </x:c>
      <x:c r="G203" s="99" t="n">
        <x:v>29.8942</x:v>
      </x:c>
    </x:row>
    <x:row r="204">
      <x:c r="A204" s="40" t="n">
        <x:v>200</x:v>
      </x:c>
      <x:c r="B204" s="40" t="n">
        <x:v>12</x:v>
      </x:c>
      <x:c r="C204" s="40" t="n">
        <x:v>13</x:v>
      </x:c>
      <x:c r="D204" s="36" t="str">
        <x:v>direita → esquerda</x:v>
      </x:c>
      <x:c r="E204" s="41" t="n">
        <x:v>0.19999999999999996</x:v>
      </x:c>
      <x:c r="F204" s="41" t="n">
        <x:v>0.75</x:v>
      </x:c>
      <x:c r="G204" s="99" t="n">
        <x:v>31.2868</x:v>
      </x:c>
    </x:row>
    <x:row r="205">
      <x:c r="A205" s="40" t="n">
        <x:v>201</x:v>
      </x:c>
      <x:c r="B205" s="40" t="n">
        <x:v>12</x:v>
      </x:c>
      <x:c r="C205" s="40" t="n">
        <x:v>14</x:v>
      </x:c>
      <x:c r="D205" s="36" t="str">
        <x:v>direita → esquerda</x:v>
      </x:c>
      <x:c r="E205" s="41" t="n">
        <x:v>-0.050000000000000044</x:v>
      </x:c>
      <x:c r="F205" s="41" t="n">
        <x:v>0.75</x:v>
      </x:c>
      <x:c r="G205" s="99" t="n">
        <x:v>32.8532</x:v>
      </x:c>
    </x:row>
    <x:row r="206">
      <x:c r="A206" s="40" t="n">
        <x:v>202</x:v>
      </x:c>
      <x:c r="B206" s="40" t="n">
        <x:v>12</x:v>
      </x:c>
      <x:c r="C206" s="40" t="n">
        <x:v>15</x:v>
      </x:c>
      <x:c r="D206" s="36" t="str">
        <x:v>direita → esquerda</x:v>
      </x:c>
      <x:c r="E206" s="41" t="n">
        <x:v>-0.30000000000000004</x:v>
      </x:c>
      <x:c r="F206" s="41" t="n">
        <x:v>0.75</x:v>
      </x:c>
      <x:c r="G206" s="99" t="n">
        <x:v>34.8979</x:v>
      </x:c>
    </x:row>
    <x:row r="207">
      <x:c r="A207" s="40" t="n">
        <x:v>203</x:v>
      </x:c>
      <x:c r="B207" s="40" t="n">
        <x:v>12</x:v>
      </x:c>
      <x:c r="C207" s="40" t="n">
        <x:v>16</x:v>
      </x:c>
      <x:c r="D207" s="36" t="str">
        <x:v>direita → esquerda</x:v>
      </x:c>
      <x:c r="E207" s="41" t="n">
        <x:v>-0.55</x:v>
      </x:c>
      <x:c r="F207" s="41" t="n">
        <x:v>0.75</x:v>
      </x:c>
      <x:c r="G207" s="99" t="n">
        <x:v>35.4765</x:v>
      </x:c>
    </x:row>
    <x:row r="208">
      <x:c r="A208" s="40" t="n">
        <x:v>204</x:v>
      </x:c>
      <x:c r="B208" s="40" t="n">
        <x:v>12</x:v>
      </x:c>
      <x:c r="C208" s="40" t="n">
        <x:v>17</x:v>
      </x:c>
      <x:c r="D208" s="36" t="str">
        <x:v>direita → esquerda</x:v>
      </x:c>
      <x:c r="E208" s="41" t="n">
        <x:v>-0.8</x:v>
      </x:c>
      <x:c r="F208" s="41" t="n">
        <x:v>0.75</x:v>
      </x:c>
      <x:c r="G208" s="99" t="n">
        <x:v>36.8859</x:v>
      </x:c>
    </x:row>
    <x:row r="209">
      <x:c r="A209" s="40" t="n">
        <x:v>205</x:v>
      </x:c>
      <x:c r="B209" s="40" t="n">
        <x:v>13</x:v>
      </x:c>
      <x:c r="C209" s="40" t="n">
        <x:v>1</x:v>
      </x:c>
      <x:c r="D209" s="36" t="str">
        <x:v>esquerda → direita</x:v>
      </x:c>
      <x:c r="E209" s="41" t="n">
        <x:v>-0.8</x:v>
      </x:c>
      <x:c r="F209" s="41" t="n">
        <x:v>1</x:v>
      </x:c>
      <x:c r="G209" s="99" t="n">
        <x:v>37.6797</x:v>
      </x:c>
    </x:row>
    <x:row r="210">
      <x:c r="A210" s="40" t="n">
        <x:v>206</x:v>
      </x:c>
      <x:c r="B210" s="40" t="n">
        <x:v>13</x:v>
      </x:c>
      <x:c r="C210" s="40" t="n">
        <x:v>2</x:v>
      </x:c>
      <x:c r="D210" s="36" t="str">
        <x:v>esquerda → direita</x:v>
      </x:c>
      <x:c r="E210" s="41" t="n">
        <x:v>-0.55</x:v>
      </x:c>
      <x:c r="F210" s="41" t="n">
        <x:v>1</x:v>
      </x:c>
      <x:c r="G210" s="99" t="n">
        <x:v>38.3142</x:v>
      </x:c>
    </x:row>
    <x:row r="211">
      <x:c r="A211" s="40" t="n">
        <x:v>207</x:v>
      </x:c>
      <x:c r="B211" s="40" t="n">
        <x:v>13</x:v>
      </x:c>
      <x:c r="C211" s="40" t="n">
        <x:v>3</x:v>
      </x:c>
      <x:c r="D211" s="36" t="str">
        <x:v>esquerda → direita</x:v>
      </x:c>
      <x:c r="E211" s="41" t="n">
        <x:v>-0.30000000000000004</x:v>
      </x:c>
      <x:c r="F211" s="41" t="n">
        <x:v>1</x:v>
      </x:c>
      <x:c r="G211" s="99" t="n">
        <x:v>34.194</x:v>
      </x:c>
    </x:row>
    <x:row r="212">
      <x:c r="A212" s="40" t="n">
        <x:v>208</x:v>
      </x:c>
      <x:c r="B212" s="40" t="n">
        <x:v>13</x:v>
      </x:c>
      <x:c r="C212" s="40" t="n">
        <x:v>4</x:v>
      </x:c>
      <x:c r="D212" s="36" t="str">
        <x:v>esquerda → direita</x:v>
      </x:c>
      <x:c r="E212" s="41" t="n">
        <x:v>-0.050000000000000044</x:v>
      </x:c>
      <x:c r="F212" s="41" t="n">
        <x:v>1</x:v>
      </x:c>
      <x:c r="G212" s="99" t="n">
        <x:v>35.9399</x:v>
      </x:c>
    </x:row>
    <x:row r="213">
      <x:c r="A213" s="40" t="n">
        <x:v>209</x:v>
      </x:c>
      <x:c r="B213" s="40" t="n">
        <x:v>13</x:v>
      </x:c>
      <x:c r="C213" s="40" t="n">
        <x:v>5</x:v>
      </x:c>
      <x:c r="D213" s="36" t="str">
        <x:v>esquerda → direita</x:v>
      </x:c>
      <x:c r="E213" s="41" t="n">
        <x:v>0.19999999999999996</x:v>
      </x:c>
      <x:c r="F213" s="41" t="n">
        <x:v>1</x:v>
      </x:c>
      <x:c r="G213" s="99" t="n">
        <x:v>34.6118</x:v>
      </x:c>
    </x:row>
    <x:row r="214">
      <x:c r="A214" s="40" t="n">
        <x:v>210</x:v>
      </x:c>
      <x:c r="B214" s="40" t="n">
        <x:v>13</x:v>
      </x:c>
      <x:c r="C214" s="40" t="n">
        <x:v>6</x:v>
      </x:c>
      <x:c r="D214" s="36" t="str">
        <x:v>esquerda → direita</x:v>
      </x:c>
      <x:c r="E214" s="41" t="n">
        <x:v>0.44999999999999996</x:v>
      </x:c>
      <x:c r="F214" s="41" t="n">
        <x:v>1</x:v>
      </x:c>
      <x:c r="G214" s="99" t="n">
        <x:v>32.6878</x:v>
      </x:c>
    </x:row>
    <x:row r="215">
      <x:c r="A215" s="40" t="n">
        <x:v>211</x:v>
      </x:c>
      <x:c r="B215" s="40" t="n">
        <x:v>13</x:v>
      </x:c>
      <x:c r="C215" s="40" t="n">
        <x:v>7</x:v>
      </x:c>
      <x:c r="D215" s="36" t="str">
        <x:v>esquerda → direita</x:v>
      </x:c>
      <x:c r="E215" s="41" t="n">
        <x:v>0.7</x:v>
      </x:c>
      <x:c r="F215" s="41" t="n">
        <x:v>1</x:v>
      </x:c>
      <x:c r="G215" s="99" t="n">
        <x:v>30.9283</x:v>
      </x:c>
    </x:row>
    <x:row r="216">
      <x:c r="A216" s="40" t="n">
        <x:v>212</x:v>
      </x:c>
      <x:c r="B216" s="40" t="n">
        <x:v>13</x:v>
      </x:c>
      <x:c r="C216" s="40" t="n">
        <x:v>8</x:v>
      </x:c>
      <x:c r="D216" s="36" t="str">
        <x:v>esquerda → direita</x:v>
      </x:c>
      <x:c r="E216" s="41" t="n">
        <x:v>0.95</x:v>
      </x:c>
      <x:c r="F216" s="41" t="n">
        <x:v>1</x:v>
      </x:c>
      <x:c r="G216" s="99" t="n">
        <x:v>32.1777</x:v>
      </x:c>
    </x:row>
    <x:row r="217">
      <x:c r="A217" s="40" t="n">
        <x:v>213</x:v>
      </x:c>
      <x:c r="B217" s="40" t="n">
        <x:v>13</x:v>
      </x:c>
      <x:c r="C217" s="40" t="n">
        <x:v>9</x:v>
      </x:c>
      <x:c r="D217" s="36" t="str">
        <x:v>esquerda → direita</x:v>
      </x:c>
      <x:c r="E217" s="41" t="n">
        <x:v>1.2</x:v>
      </x:c>
      <x:c r="F217" s="41" t="n">
        <x:v>1</x:v>
      </x:c>
      <x:c r="G217" s="99" t="n">
        <x:v>32.9964</x:v>
      </x:c>
    </x:row>
    <x:row r="218">
      <x:c r="A218" s="40" t="n">
        <x:v>214</x:v>
      </x:c>
      <x:c r="B218" s="40" t="n">
        <x:v>13</x:v>
      </x:c>
      <x:c r="C218" s="40" t="n">
        <x:v>10</x:v>
      </x:c>
      <x:c r="D218" s="36" t="str">
        <x:v>esquerda → direita</x:v>
      </x:c>
      <x:c r="E218" s="41" t="n">
        <x:v>1.45</x:v>
      </x:c>
      <x:c r="F218" s="41" t="n">
        <x:v>1</x:v>
      </x:c>
      <x:c r="G218" s="99" t="n">
        <x:v>29.4193</x:v>
      </x:c>
    </x:row>
    <x:row r="219">
      <x:c r="A219" s="40" t="n">
        <x:v>215</x:v>
      </x:c>
      <x:c r="B219" s="40" t="n">
        <x:v>13</x:v>
      </x:c>
      <x:c r="C219" s="40" t="n">
        <x:v>11</x:v>
      </x:c>
      <x:c r="D219" s="36" t="str">
        <x:v>esquerda → direita</x:v>
      </x:c>
      <x:c r="E219" s="41" t="n">
        <x:v>1.7</x:v>
      </x:c>
      <x:c r="F219" s="41" t="n">
        <x:v>1</x:v>
      </x:c>
      <x:c r="G219" s="99" t="n">
        <x:v>31.9959</x:v>
      </x:c>
    </x:row>
    <x:row r="220">
      <x:c r="A220" s="40" t="n">
        <x:v>216</x:v>
      </x:c>
      <x:c r="B220" s="40" t="n">
        <x:v>13</x:v>
      </x:c>
      <x:c r="C220" s="40" t="n">
        <x:v>12</x:v>
      </x:c>
      <x:c r="D220" s="36" t="str">
        <x:v>esquerda → direita</x:v>
      </x:c>
      <x:c r="E220" s="41" t="n">
        <x:v>1.95</x:v>
      </x:c>
      <x:c r="F220" s="41" t="n">
        <x:v>1</x:v>
      </x:c>
      <x:c r="G220" s="99" t="n">
        <x:v>32.6442</x:v>
      </x:c>
    </x:row>
    <x:row r="221">
      <x:c r="A221" s="40" t="n">
        <x:v>217</x:v>
      </x:c>
      <x:c r="B221" s="40" t="n">
        <x:v>13</x:v>
      </x:c>
      <x:c r="C221" s="40" t="n">
        <x:v>13</x:v>
      </x:c>
      <x:c r="D221" s="36" t="str">
        <x:v>esquerda → direita</x:v>
      </x:c>
      <x:c r="E221" s="41" t="n">
        <x:v>2.2</x:v>
      </x:c>
      <x:c r="F221" s="41" t="n">
        <x:v>1</x:v>
      </x:c>
      <x:c r="G221" s="99" t="n">
        <x:v>32.0241</x:v>
      </x:c>
    </x:row>
    <x:row r="222">
      <x:c r="A222" s="40" t="n">
        <x:v>218</x:v>
      </x:c>
      <x:c r="B222" s="40" t="n">
        <x:v>13</x:v>
      </x:c>
      <x:c r="C222" s="40" t="n">
        <x:v>14</x:v>
      </x:c>
      <x:c r="D222" s="36" t="str">
        <x:v>esquerda → direita</x:v>
      </x:c>
      <x:c r="E222" s="41" t="n">
        <x:v>2.45</x:v>
      </x:c>
      <x:c r="F222" s="41" t="n">
        <x:v>1</x:v>
      </x:c>
      <x:c r="G222" s="99" t="n">
        <x:v>33.0617</x:v>
      </x:c>
    </x:row>
    <x:row r="223">
      <x:c r="A223" s="40" t="n">
        <x:v>219</x:v>
      </x:c>
      <x:c r="B223" s="40" t="n">
        <x:v>13</x:v>
      </x:c>
      <x:c r="C223" s="40" t="n">
        <x:v>15</x:v>
      </x:c>
      <x:c r="D223" s="36" t="str">
        <x:v>esquerda → direita</x:v>
      </x:c>
      <x:c r="E223" s="41" t="n">
        <x:v>2.7</x:v>
      </x:c>
      <x:c r="F223" s="41" t="n">
        <x:v>1</x:v>
      </x:c>
      <x:c r="G223" s="99" t="n">
        <x:v>32.0384</x:v>
      </x:c>
    </x:row>
    <x:row r="224">
      <x:c r="A224" s="40" t="n">
        <x:v>220</x:v>
      </x:c>
      <x:c r="B224" s="40" t="n">
        <x:v>13</x:v>
      </x:c>
      <x:c r="C224" s="40" t="n">
        <x:v>16</x:v>
      </x:c>
      <x:c r="D224" s="36" t="str">
        <x:v>esquerda → direita</x:v>
      </x:c>
      <x:c r="E224" s="41" t="n">
        <x:v>2.95</x:v>
      </x:c>
      <x:c r="F224" s="41" t="n">
        <x:v>1</x:v>
      </x:c>
      <x:c r="G224" s="99" t="n">
        <x:v>33.9057</x:v>
      </x:c>
    </x:row>
    <x:row r="225">
      <x:c r="A225" s="40" t="n">
        <x:v>221</x:v>
      </x:c>
      <x:c r="B225" s="40" t="n">
        <x:v>13</x:v>
      </x:c>
      <x:c r="C225" s="40" t="n">
        <x:v>17</x:v>
      </x:c>
      <x:c r="D225" s="36" t="str">
        <x:v>esquerda → direita</x:v>
      </x:c>
      <x:c r="E225" s="41" t="n">
        <x:v>3.2</x:v>
      </x:c>
      <x:c r="F225" s="41" t="n">
        <x:v>1</x:v>
      </x:c>
      <x:c r="G225" s="99" t="n">
        <x:v>33.7208</x:v>
      </x:c>
    </x:row>
    <x:row r="226">
      <x:c r="A226" s="40" t="n">
        <x:v>222</x:v>
      </x:c>
      <x:c r="B226" s="40" t="n">
        <x:v>14</x:v>
      </x:c>
      <x:c r="C226" s="40" t="n">
        <x:v>1</x:v>
      </x:c>
      <x:c r="D226" s="36" t="str">
        <x:v>direita → esquerda</x:v>
      </x:c>
      <x:c r="E226" s="41" t="n">
        <x:v>3.2</x:v>
      </x:c>
      <x:c r="F226" s="41" t="n">
        <x:v>1.25</x:v>
      </x:c>
      <x:c r="G226" s="99" t="n">
        <x:v>36.3186</x:v>
      </x:c>
    </x:row>
    <x:row r="227">
      <x:c r="A227" s="40" t="n">
        <x:v>223</x:v>
      </x:c>
      <x:c r="B227" s="40" t="n">
        <x:v>14</x:v>
      </x:c>
      <x:c r="C227" s="40" t="n">
        <x:v>2</x:v>
      </x:c>
      <x:c r="D227" s="36" t="str">
        <x:v>direita → esquerda</x:v>
      </x:c>
      <x:c r="E227" s="41" t="n">
        <x:v>2.95</x:v>
      </x:c>
      <x:c r="F227" s="41" t="n">
        <x:v>1.25</x:v>
      </x:c>
      <x:c r="G227" s="99" t="n">
        <x:v>35.7906</x:v>
      </x:c>
    </x:row>
    <x:row r="228">
      <x:c r="A228" s="40" t="n">
        <x:v>224</x:v>
      </x:c>
      <x:c r="B228" s="40" t="n">
        <x:v>14</x:v>
      </x:c>
      <x:c r="C228" s="40" t="n">
        <x:v>3</x:v>
      </x:c>
      <x:c r="D228" s="36" t="str">
        <x:v>direita → esquerda</x:v>
      </x:c>
      <x:c r="E228" s="41" t="n">
        <x:v>2.7</x:v>
      </x:c>
      <x:c r="F228" s="41" t="n">
        <x:v>1.25</x:v>
      </x:c>
      <x:c r="G228" s="99" t="n">
        <x:v>35.1247</x:v>
      </x:c>
    </x:row>
    <x:row r="229">
      <x:c r="A229" s="40" t="n">
        <x:v>225</x:v>
      </x:c>
      <x:c r="B229" s="40" t="n">
        <x:v>14</x:v>
      </x:c>
      <x:c r="C229" s="40" t="n">
        <x:v>4</x:v>
      </x:c>
      <x:c r="D229" s="36" t="str">
        <x:v>direita → esquerda</x:v>
      </x:c>
      <x:c r="E229" s="41" t="n">
        <x:v>2.45</x:v>
      </x:c>
      <x:c r="F229" s="41" t="n">
        <x:v>1.25</x:v>
      </x:c>
      <x:c r="G229" s="99" t="n">
        <x:v>36.3844</x:v>
      </x:c>
    </x:row>
    <x:row r="230">
      <x:c r="A230" s="40" t="n">
        <x:v>226</x:v>
      </x:c>
      <x:c r="B230" s="40" t="n">
        <x:v>14</x:v>
      </x:c>
      <x:c r="C230" s="40" t="n">
        <x:v>5</x:v>
      </x:c>
      <x:c r="D230" s="36" t="str">
        <x:v>direita → esquerda</x:v>
      </x:c>
      <x:c r="E230" s="41" t="n">
        <x:v>2.2</x:v>
      </x:c>
      <x:c r="F230" s="41" t="n">
        <x:v>1.25</x:v>
      </x:c>
      <x:c r="G230" s="99" t="n">
        <x:v>34.4698</x:v>
      </x:c>
    </x:row>
    <x:row r="231">
      <x:c r="A231" s="40" t="n">
        <x:v>227</x:v>
      </x:c>
      <x:c r="B231" s="40" t="n">
        <x:v>14</x:v>
      </x:c>
      <x:c r="C231" s="40" t="n">
        <x:v>6</x:v>
      </x:c>
      <x:c r="D231" s="36" t="str">
        <x:v>direita → esquerda</x:v>
      </x:c>
      <x:c r="E231" s="41" t="n">
        <x:v>1.95</x:v>
      </x:c>
      <x:c r="F231" s="41" t="n">
        <x:v>1.25</x:v>
      </x:c>
      <x:c r="G231" s="99" t="n">
        <x:v>32.7313</x:v>
      </x:c>
    </x:row>
    <x:row r="232">
      <x:c r="A232" s="40" t="n">
        <x:v>228</x:v>
      </x:c>
      <x:c r="B232" s="40" t="n">
        <x:v>14</x:v>
      </x:c>
      <x:c r="C232" s="40" t="n">
        <x:v>7</x:v>
      </x:c>
      <x:c r="D232" s="36" t="str">
        <x:v>direita → esquerda</x:v>
      </x:c>
      <x:c r="E232" s="41" t="n">
        <x:v>1.7</x:v>
      </x:c>
      <x:c r="F232" s="41" t="n">
        <x:v>1.25</x:v>
      </x:c>
      <x:c r="G232" s="99" t="n">
        <x:v>32.2955</x:v>
      </x:c>
    </x:row>
    <x:row r="233">
      <x:c r="A233" s="40" t="n">
        <x:v>229</x:v>
      </x:c>
      <x:c r="B233" s="40" t="n">
        <x:v>14</x:v>
      </x:c>
      <x:c r="C233" s="40" t="n">
        <x:v>8</x:v>
      </x:c>
      <x:c r="D233" s="36" t="str">
        <x:v>direita → esquerda</x:v>
      </x:c>
      <x:c r="E233" s="41" t="n">
        <x:v>1.45</x:v>
      </x:c>
      <x:c r="F233" s="41" t="n">
        <x:v>1.25</x:v>
      </x:c>
      <x:c r="G233" s="99" t="n">
        <x:v>31.1703</x:v>
      </x:c>
    </x:row>
    <x:row r="234">
      <x:c r="A234" s="40" t="n">
        <x:v>230</x:v>
      </x:c>
      <x:c r="B234" s="40" t="n">
        <x:v>14</x:v>
      </x:c>
      <x:c r="C234" s="40" t="n">
        <x:v>9</x:v>
      </x:c>
      <x:c r="D234" s="36" t="str">
        <x:v>direita → esquerda</x:v>
      </x:c>
      <x:c r="E234" s="41" t="n">
        <x:v>1.2</x:v>
      </x:c>
      <x:c r="F234" s="41" t="n">
        <x:v>1.25</x:v>
      </x:c>
      <x:c r="G234" s="99" t="n">
        <x:v>32.9726</x:v>
      </x:c>
    </x:row>
    <x:row r="235">
      <x:c r="A235" s="40" t="n">
        <x:v>231</x:v>
      </x:c>
      <x:c r="B235" s="40" t="n">
        <x:v>14</x:v>
      </x:c>
      <x:c r="C235" s="40" t="n">
        <x:v>10</x:v>
      </x:c>
      <x:c r="D235" s="36" t="str">
        <x:v>direita → esquerda</x:v>
      </x:c>
      <x:c r="E235" s="41" t="n">
        <x:v>0.95</x:v>
      </x:c>
      <x:c r="F235" s="41" t="n">
        <x:v>1.25</x:v>
      </x:c>
      <x:c r="G235" s="99" t="n">
        <x:v>33.011</x:v>
      </x:c>
    </x:row>
    <x:row r="236">
      <x:c r="A236" s="40" t="n">
        <x:v>232</x:v>
      </x:c>
      <x:c r="B236" s="40" t="n">
        <x:v>14</x:v>
      </x:c>
      <x:c r="C236" s="40" t="n">
        <x:v>11</x:v>
      </x:c>
      <x:c r="D236" s="36" t="str">
        <x:v>direita → esquerda</x:v>
      </x:c>
      <x:c r="E236" s="41" t="n">
        <x:v>0.7</x:v>
      </x:c>
      <x:c r="F236" s="41" t="n">
        <x:v>1.25</x:v>
      </x:c>
      <x:c r="G236" s="99" t="n">
        <x:v>37.0607</x:v>
      </x:c>
    </x:row>
    <x:row r="237">
      <x:c r="A237" s="40" t="n">
        <x:v>233</x:v>
      </x:c>
      <x:c r="B237" s="40" t="n">
        <x:v>14</x:v>
      </x:c>
      <x:c r="C237" s="40" t="n">
        <x:v>12</x:v>
      </x:c>
      <x:c r="D237" s="36" t="str">
        <x:v>direita → esquerda</x:v>
      </x:c>
      <x:c r="E237" s="41" t="n">
        <x:v>0.44999999999999996</x:v>
      </x:c>
      <x:c r="F237" s="41" t="n">
        <x:v>1.25</x:v>
      </x:c>
      <x:c r="G237" s="99" t="n">
        <x:v>37.3522</x:v>
      </x:c>
    </x:row>
    <x:row r="238">
      <x:c r="A238" s="40" t="n">
        <x:v>234</x:v>
      </x:c>
      <x:c r="B238" s="40" t="n">
        <x:v>14</x:v>
      </x:c>
      <x:c r="C238" s="40" t="n">
        <x:v>13</x:v>
      </x:c>
      <x:c r="D238" s="36" t="str">
        <x:v>direita → esquerda</x:v>
      </x:c>
      <x:c r="E238" s="41" t="n">
        <x:v>0.19999999999999996</x:v>
      </x:c>
      <x:c r="F238" s="41" t="n">
        <x:v>1.25</x:v>
      </x:c>
      <x:c r="G238" s="99" t="n">
        <x:v>37.8616</x:v>
      </x:c>
    </x:row>
    <x:row r="239">
      <x:c r="A239" s="40" t="n">
        <x:v>235</x:v>
      </x:c>
      <x:c r="B239" s="40" t="n">
        <x:v>14</x:v>
      </x:c>
      <x:c r="C239" s="40" t="n">
        <x:v>14</x:v>
      </x:c>
      <x:c r="D239" s="36" t="str">
        <x:v>direita → esquerda</x:v>
      </x:c>
      <x:c r="E239" s="41" t="n">
        <x:v>-0.050000000000000044</x:v>
      </x:c>
      <x:c r="F239" s="41" t="n">
        <x:v>1.25</x:v>
      </x:c>
      <x:c r="G239" s="99" t="n">
        <x:v>39.8971</x:v>
      </x:c>
    </x:row>
    <x:row r="240">
      <x:c r="A240" s="40" t="n">
        <x:v>236</x:v>
      </x:c>
      <x:c r="B240" s="40" t="n">
        <x:v>14</x:v>
      </x:c>
      <x:c r="C240" s="40" t="n">
        <x:v>15</x:v>
      </x:c>
      <x:c r="D240" s="36" t="str">
        <x:v>direita → esquerda</x:v>
      </x:c>
      <x:c r="E240" s="41" t="n">
        <x:v>-0.30000000000000004</x:v>
      </x:c>
      <x:c r="F240" s="41" t="n">
        <x:v>1.25</x:v>
      </x:c>
      <x:c r="G240" s="99" t="n">
        <x:v>33.392</x:v>
      </x:c>
    </x:row>
    <x:row r="241">
      <x:c r="A241" s="40" t="n">
        <x:v>237</x:v>
      </x:c>
      <x:c r="B241" s="40" t="n">
        <x:v>14</x:v>
      </x:c>
      <x:c r="C241" s="40" t="n">
        <x:v>16</x:v>
      </x:c>
      <x:c r="D241" s="36" t="str">
        <x:v>direita → esquerda</x:v>
      </x:c>
      <x:c r="E241" s="41" t="n">
        <x:v>-0.55</x:v>
      </x:c>
      <x:c r="F241" s="41" t="n">
        <x:v>1.25</x:v>
      </x:c>
      <x:c r="G241" s="99" t="n">
        <x:v>38.2991</x:v>
      </x:c>
    </x:row>
    <x:row r="242">
      <x:c r="A242" s="40" t="n">
        <x:v>238</x:v>
      </x:c>
      <x:c r="B242" s="40" t="n">
        <x:v>14</x:v>
      </x:c>
      <x:c r="C242" s="40" t="n">
        <x:v>17</x:v>
      </x:c>
      <x:c r="D242" s="36" t="str">
        <x:v>direita → esquerda</x:v>
      </x:c>
      <x:c r="E242" s="41" t="n">
        <x:v>-0.8</x:v>
      </x:c>
      <x:c r="F242" s="41" t="n">
        <x:v>1.25</x:v>
      </x:c>
      <x:c r="G242" s="99" t="n">
        <x:v>39.1685</x:v>
      </x:c>
    </x:row>
    <x:row r="243">
      <x:c r="A243" s="40" t="n">
        <x:v>239</x:v>
      </x:c>
      <x:c r="B243" s="40" t="n">
        <x:v>15</x:v>
      </x:c>
      <x:c r="C243" s="40" t="n">
        <x:v>1</x:v>
      </x:c>
      <x:c r="D243" s="36" t="str">
        <x:v>esquerda → direita</x:v>
      </x:c>
      <x:c r="E243" s="41" t="n">
        <x:v>-0.8</x:v>
      </x:c>
      <x:c r="F243" s="41" t="n">
        <x:v>1.5</x:v>
      </x:c>
      <x:c r="G243" s="99" t="n">
        <x:v>39.0006</x:v>
      </x:c>
    </x:row>
    <x:row r="244">
      <x:c r="A244" s="40" t="n">
        <x:v>240</x:v>
      </x:c>
      <x:c r="B244" s="40" t="n">
        <x:v>15</x:v>
      </x:c>
      <x:c r="C244" s="40" t="n">
        <x:v>2</x:v>
      </x:c>
      <x:c r="D244" s="36" t="str">
        <x:v>esquerda → direita</x:v>
      </x:c>
      <x:c r="E244" s="41" t="n">
        <x:v>-0.55</x:v>
      </x:c>
      <x:c r="F244" s="41" t="n">
        <x:v>1.5</x:v>
      </x:c>
      <x:c r="G244" s="99" t="n">
        <x:v>42.2295</x:v>
      </x:c>
    </x:row>
    <x:row r="245">
      <x:c r="A245" s="40" t="n">
        <x:v>241</x:v>
      </x:c>
      <x:c r="B245" s="40" t="n">
        <x:v>15</x:v>
      </x:c>
      <x:c r="C245" s="40" t="n">
        <x:v>3</x:v>
      </x:c>
      <x:c r="D245" s="36" t="str">
        <x:v>esquerda → direita</x:v>
      </x:c>
      <x:c r="E245" s="41" t="n">
        <x:v>-0.30000000000000004</x:v>
      </x:c>
      <x:c r="F245" s="41" t="n">
        <x:v>1.5</x:v>
      </x:c>
      <x:c r="G245" s="99" t="n">
        <x:v>42.5197</x:v>
      </x:c>
    </x:row>
    <x:row r="246">
      <x:c r="A246" s="40" t="n">
        <x:v>242</x:v>
      </x:c>
      <x:c r="B246" s="40" t="n">
        <x:v>15</x:v>
      </x:c>
      <x:c r="C246" s="40" t="n">
        <x:v>4</x:v>
      </x:c>
      <x:c r="D246" s="36" t="str">
        <x:v>esquerda → direita</x:v>
      </x:c>
      <x:c r="E246" s="41" t="n">
        <x:v>-0.050000000000000044</x:v>
      </x:c>
      <x:c r="F246" s="41" t="n">
        <x:v>1.5</x:v>
      </x:c>
      <x:c r="G246" s="99" t="n">
        <x:v>38.391</x:v>
      </x:c>
    </x:row>
    <x:row r="247">
      <x:c r="A247" s="40" t="n">
        <x:v>243</x:v>
      </x:c>
      <x:c r="B247" s="40" t="n">
        <x:v>15</x:v>
      </x:c>
      <x:c r="C247" s="40" t="n">
        <x:v>5</x:v>
      </x:c>
      <x:c r="D247" s="36" t="str">
        <x:v>esquerda → direita</x:v>
      </x:c>
      <x:c r="E247" s="41" t="n">
        <x:v>0.19999999999999996</x:v>
      </x:c>
      <x:c r="F247" s="41" t="n">
        <x:v>1.5</x:v>
      </x:c>
      <x:c r="G247" s="99" t="n">
        <x:v>37.1154</x:v>
      </x:c>
    </x:row>
    <x:row r="248">
      <x:c r="A248" s="40" t="n">
        <x:v>244</x:v>
      </x:c>
      <x:c r="B248" s="40" t="n">
        <x:v>15</x:v>
      </x:c>
      <x:c r="C248" s="40" t="n">
        <x:v>6</x:v>
      </x:c>
      <x:c r="D248" s="36" t="str">
        <x:v>esquerda → direita</x:v>
      </x:c>
      <x:c r="E248" s="41" t="n">
        <x:v>0.44999999999999996</x:v>
      </x:c>
      <x:c r="F248" s="41" t="n">
        <x:v>1.5</x:v>
      </x:c>
      <x:c r="G248" s="99" t="n">
        <x:v>32.7812</x:v>
      </x:c>
    </x:row>
    <x:row r="249">
      <x:c r="A249" s="40" t="n">
        <x:v>245</x:v>
      </x:c>
      <x:c r="B249" s="40" t="n">
        <x:v>15</x:v>
      </x:c>
      <x:c r="C249" s="40" t="n">
        <x:v>7</x:v>
      </x:c>
      <x:c r="D249" s="36" t="str">
        <x:v>esquerda → direita</x:v>
      </x:c>
      <x:c r="E249" s="41" t="n">
        <x:v>0.7</x:v>
      </x:c>
      <x:c r="F249" s="41" t="n">
        <x:v>1.5</x:v>
      </x:c>
      <x:c r="G249" s="99" t="n">
        <x:v>32.4557</x:v>
      </x:c>
    </x:row>
    <x:row r="250">
      <x:c r="A250" s="40" t="n">
        <x:v>246</x:v>
      </x:c>
      <x:c r="B250" s="40" t="n">
        <x:v>15</x:v>
      </x:c>
      <x:c r="C250" s="40" t="n">
        <x:v>8</x:v>
      </x:c>
      <x:c r="D250" s="36" t="str">
        <x:v>esquerda → direita</x:v>
      </x:c>
      <x:c r="E250" s="41" t="n">
        <x:v>0.95</x:v>
      </x:c>
      <x:c r="F250" s="41" t="n">
        <x:v>1.5</x:v>
      </x:c>
      <x:c r="G250" s="99" t="n">
        <x:v>36.1411</x:v>
      </x:c>
    </x:row>
    <x:row r="251">
      <x:c r="A251" s="40" t="n">
        <x:v>247</x:v>
      </x:c>
      <x:c r="B251" s="40" t="n">
        <x:v>15</x:v>
      </x:c>
      <x:c r="C251" s="40" t="n">
        <x:v>9</x:v>
      </x:c>
      <x:c r="D251" s="36" t="str">
        <x:v>esquerda → direita</x:v>
      </x:c>
      <x:c r="E251" s="41" t="n">
        <x:v>1.2</x:v>
      </x:c>
      <x:c r="F251" s="41" t="n">
        <x:v>1.5</x:v>
      </x:c>
      <x:c r="G251" s="99" t="n">
        <x:v>34.3859</x:v>
      </x:c>
    </x:row>
    <x:row r="252">
      <x:c r="A252" s="40" t="n">
        <x:v>248</x:v>
      </x:c>
      <x:c r="B252" s="40" t="n">
        <x:v>15</x:v>
      </x:c>
      <x:c r="C252" s="40" t="n">
        <x:v>10</x:v>
      </x:c>
      <x:c r="D252" s="36" t="str">
        <x:v>esquerda → direita</x:v>
      </x:c>
      <x:c r="E252" s="41" t="n">
        <x:v>1.45</x:v>
      </x:c>
      <x:c r="F252" s="41" t="n">
        <x:v>1.5</x:v>
      </x:c>
      <x:c r="G252" s="99" t="n">
        <x:v>31.7427</x:v>
      </x:c>
    </x:row>
    <x:row r="253">
      <x:c r="A253" s="40" t="n">
        <x:v>249</x:v>
      </x:c>
      <x:c r="B253" s="40" t="n">
        <x:v>15</x:v>
      </x:c>
      <x:c r="C253" s="40" t="n">
        <x:v>11</x:v>
      </x:c>
      <x:c r="D253" s="36" t="str">
        <x:v>esquerda → direita</x:v>
      </x:c>
      <x:c r="E253" s="41" t="n">
        <x:v>1.7</x:v>
      </x:c>
      <x:c r="F253" s="41" t="n">
        <x:v>1.5</x:v>
      </x:c>
      <x:c r="G253" s="99" t="n">
        <x:v>34.5068</x:v>
      </x:c>
    </x:row>
    <x:row r="254">
      <x:c r="A254" s="40" t="n">
        <x:v>250</x:v>
      </x:c>
      <x:c r="B254" s="40" t="n">
        <x:v>15</x:v>
      </x:c>
      <x:c r="C254" s="40" t="n">
        <x:v>12</x:v>
      </x:c>
      <x:c r="D254" s="36" t="str">
        <x:v>esquerda → direita</x:v>
      </x:c>
      <x:c r="E254" s="41" t="n">
        <x:v>1.95</x:v>
      </x:c>
      <x:c r="F254" s="41" t="n">
        <x:v>1.5</x:v>
      </x:c>
      <x:c r="G254" s="99" t="n">
        <x:v>35.8609</x:v>
      </x:c>
    </x:row>
    <x:row r="255">
      <x:c r="A255" s="40" t="n">
        <x:v>251</x:v>
      </x:c>
      <x:c r="B255" s="40" t="n">
        <x:v>15</x:v>
      </x:c>
      <x:c r="C255" s="40" t="n">
        <x:v>13</x:v>
      </x:c>
      <x:c r="D255" s="36" t="str">
        <x:v>esquerda → direita</x:v>
      </x:c>
      <x:c r="E255" s="41" t="n">
        <x:v>2.2</x:v>
      </x:c>
      <x:c r="F255" s="41" t="n">
        <x:v>1.5</x:v>
      </x:c>
      <x:c r="G255" s="99" t="n">
        <x:v>37.5436</x:v>
      </x:c>
    </x:row>
    <x:row r="256">
      <x:c r="A256" s="40" t="n">
        <x:v>252</x:v>
      </x:c>
      <x:c r="B256" s="40" t="n">
        <x:v>15</x:v>
      </x:c>
      <x:c r="C256" s="40" t="n">
        <x:v>14</x:v>
      </x:c>
      <x:c r="D256" s="36" t="str">
        <x:v>esquerda → direita</x:v>
      </x:c>
      <x:c r="E256" s="41" t="n">
        <x:v>2.45</x:v>
      </x:c>
      <x:c r="F256" s="41" t="n">
        <x:v>1.5</x:v>
      </x:c>
      <x:c r="G256" s="99" t="n">
        <x:v>35.7194</x:v>
      </x:c>
    </x:row>
    <x:row r="257">
      <x:c r="A257" s="40" t="n">
        <x:v>253</x:v>
      </x:c>
      <x:c r="B257" s="40" t="n">
        <x:v>15</x:v>
      </x:c>
      <x:c r="C257" s="40" t="n">
        <x:v>15</x:v>
      </x:c>
      <x:c r="D257" s="36" t="str">
        <x:v>esquerda → direita</x:v>
      </x:c>
      <x:c r="E257" s="41" t="n">
        <x:v>2.7</x:v>
      </x:c>
      <x:c r="F257" s="41" t="n">
        <x:v>1.5</x:v>
      </x:c>
      <x:c r="G257" s="99" t="n">
        <x:v>35.864</x:v>
      </x:c>
    </x:row>
    <x:row r="258">
      <x:c r="A258" s="40" t="n">
        <x:v>254</x:v>
      </x:c>
      <x:c r="B258" s="40" t="n">
        <x:v>15</x:v>
      </x:c>
      <x:c r="C258" s="40" t="n">
        <x:v>16</x:v>
      </x:c>
      <x:c r="D258" s="36" t="str">
        <x:v>esquerda → direita</x:v>
      </x:c>
      <x:c r="E258" s="41" t="n">
        <x:v>2.95</x:v>
      </x:c>
      <x:c r="F258" s="41" t="n">
        <x:v>1.5</x:v>
      </x:c>
      <x:c r="G258" s="99" t="n">
        <x:v>37.0075</x:v>
      </x:c>
    </x:row>
    <x:row r="259">
      <x:c r="A259" s="40" t="n">
        <x:v>255</x:v>
      </x:c>
      <x:c r="B259" s="40" t="n">
        <x:v>15</x:v>
      </x:c>
      <x:c r="C259" s="40" t="n">
        <x:v>17</x:v>
      </x:c>
      <x:c r="D259" s="36" t="str">
        <x:v>esquerda → direita</x:v>
      </x:c>
      <x:c r="E259" s="41" t="n">
        <x:v>3.2</x:v>
      </x:c>
      <x:c r="F259" s="41" t="n">
        <x:v>1.5</x:v>
      </x:c>
      <x:c r="G259" s="99" t="n">
        <x:v>37.896</x:v>
      </x:c>
    </x:row>
    <x:row r="260">
      <x:c r="A260" s="40" t="n">
        <x:v>256</x:v>
      </x:c>
      <x:c r="B260" s="40" t="n">
        <x:v>16</x:v>
      </x:c>
      <x:c r="C260" s="40" t="n">
        <x:v>1</x:v>
      </x:c>
      <x:c r="D260" s="36" t="str">
        <x:v>direita → esquerda</x:v>
      </x:c>
      <x:c r="E260" s="41" t="n">
        <x:v>3.2</x:v>
      </x:c>
      <x:c r="F260" s="41" t="n">
        <x:v>1.75</x:v>
      </x:c>
      <x:c r="G260" s="99" t="n">
        <x:v>35.1861</x:v>
      </x:c>
    </x:row>
    <x:row r="261">
      <x:c r="A261" s="40" t="n">
        <x:v>257</x:v>
      </x:c>
      <x:c r="B261" s="40" t="n">
        <x:v>16</x:v>
      </x:c>
      <x:c r="C261" s="40" t="n">
        <x:v>2</x:v>
      </x:c>
      <x:c r="D261" s="36" t="str">
        <x:v>direita → esquerda</x:v>
      </x:c>
      <x:c r="E261" s="41" t="n">
        <x:v>2.95</x:v>
      </x:c>
      <x:c r="F261" s="41" t="n">
        <x:v>1.75</x:v>
      </x:c>
      <x:c r="G261" s="99" t="n">
        <x:v>39.4496</x:v>
      </x:c>
    </x:row>
    <x:row r="262">
      <x:c r="A262" s="40" t="n">
        <x:v>258</x:v>
      </x:c>
      <x:c r="B262" s="40" t="n">
        <x:v>16</x:v>
      </x:c>
      <x:c r="C262" s="40" t="n">
        <x:v>3</x:v>
      </x:c>
      <x:c r="D262" s="36" t="str">
        <x:v>direita → esquerda</x:v>
      </x:c>
      <x:c r="E262" s="41" t="n">
        <x:v>2.7</x:v>
      </x:c>
      <x:c r="F262" s="41" t="n">
        <x:v>1.75</x:v>
      </x:c>
      <x:c r="G262" s="99" t="n">
        <x:v>42.1303</x:v>
      </x:c>
    </x:row>
    <x:row r="263">
      <x:c r="A263" s="40" t="n">
        <x:v>259</x:v>
      </x:c>
      <x:c r="B263" s="40" t="n">
        <x:v>16</x:v>
      </x:c>
      <x:c r="C263" s="40" t="n">
        <x:v>4</x:v>
      </x:c>
      <x:c r="D263" s="36" t="str">
        <x:v>direita → esquerda</x:v>
      </x:c>
      <x:c r="E263" s="41" t="n">
        <x:v>2.45</x:v>
      </x:c>
      <x:c r="F263" s="41" t="n">
        <x:v>1.75</x:v>
      </x:c>
      <x:c r="G263" s="99" t="n">
        <x:v>38.5177</x:v>
      </x:c>
    </x:row>
    <x:row r="264">
      <x:c r="A264" s="40" t="n">
        <x:v>260</x:v>
      </x:c>
      <x:c r="B264" s="40" t="n">
        <x:v>16</x:v>
      </x:c>
      <x:c r="C264" s="40" t="n">
        <x:v>5</x:v>
      </x:c>
      <x:c r="D264" s="36" t="str">
        <x:v>direita → esquerda</x:v>
      </x:c>
      <x:c r="E264" s="41" t="n">
        <x:v>2.2</x:v>
      </x:c>
      <x:c r="F264" s="41" t="n">
        <x:v>1.75</x:v>
      </x:c>
      <x:c r="G264" s="99" t="n">
        <x:v>33.0056</x:v>
      </x:c>
    </x:row>
    <x:row r="265">
      <x:c r="A265" s="40" t="n">
        <x:v>261</x:v>
      </x:c>
      <x:c r="B265" s="40" t="n">
        <x:v>16</x:v>
      </x:c>
      <x:c r="C265" s="40" t="n">
        <x:v>6</x:v>
      </x:c>
      <x:c r="D265" s="36" t="str">
        <x:v>direita → esquerda</x:v>
      </x:c>
      <x:c r="E265" s="41" t="n">
        <x:v>1.95</x:v>
      </x:c>
      <x:c r="F265" s="41" t="n">
        <x:v>1.75</x:v>
      </x:c>
      <x:c r="G265" s="99" t="n">
        <x:v>36.1661</x:v>
      </x:c>
    </x:row>
    <x:row r="266">
      <x:c r="A266" s="40" t="n">
        <x:v>262</x:v>
      </x:c>
      <x:c r="B266" s="40" t="n">
        <x:v>16</x:v>
      </x:c>
      <x:c r="C266" s="40" t="n">
        <x:v>7</x:v>
      </x:c>
      <x:c r="D266" s="36" t="str">
        <x:v>direita → esquerda</x:v>
      </x:c>
      <x:c r="E266" s="41" t="n">
        <x:v>1.7</x:v>
      </x:c>
      <x:c r="F266" s="41" t="n">
        <x:v>1.75</x:v>
      </x:c>
      <x:c r="G266" s="99" t="n">
        <x:v>31.7792</x:v>
      </x:c>
    </x:row>
    <x:row r="267">
      <x:c r="A267" s="40" t="n">
        <x:v>263</x:v>
      </x:c>
      <x:c r="B267" s="40" t="n">
        <x:v>16</x:v>
      </x:c>
      <x:c r="C267" s="40" t="n">
        <x:v>8</x:v>
      </x:c>
      <x:c r="D267" s="36" t="str">
        <x:v>direita → esquerda</x:v>
      </x:c>
      <x:c r="E267" s="41" t="n">
        <x:v>1.45</x:v>
      </x:c>
      <x:c r="F267" s="41" t="n">
        <x:v>1.75</x:v>
      </x:c>
      <x:c r="G267" s="99" t="n">
        <x:v>31.5002</x:v>
      </x:c>
    </x:row>
    <x:row r="268">
      <x:c r="A268" s="40" t="n">
        <x:v>264</x:v>
      </x:c>
      <x:c r="B268" s="40" t="n">
        <x:v>16</x:v>
      </x:c>
      <x:c r="C268" s="40" t="n">
        <x:v>9</x:v>
      </x:c>
      <x:c r="D268" s="36" t="str">
        <x:v>direita → esquerda</x:v>
      </x:c>
      <x:c r="E268" s="41" t="n">
        <x:v>1.2</x:v>
      </x:c>
      <x:c r="F268" s="41" t="n">
        <x:v>1.75</x:v>
      </x:c>
      <x:c r="G268" s="99" t="n">
        <x:v>36.9579</x:v>
      </x:c>
    </x:row>
    <x:row r="269">
      <x:c r="A269" s="40" t="n">
        <x:v>265</x:v>
      </x:c>
      <x:c r="B269" s="40" t="n">
        <x:v>16</x:v>
      </x:c>
      <x:c r="C269" s="40" t="n">
        <x:v>10</x:v>
      </x:c>
      <x:c r="D269" s="36" t="str">
        <x:v>direita → esquerda</x:v>
      </x:c>
      <x:c r="E269" s="41" t="n">
        <x:v>0.95</x:v>
      </x:c>
      <x:c r="F269" s="41" t="n">
        <x:v>1.75</x:v>
      </x:c>
      <x:c r="G269" s="99" t="n">
        <x:v>35.7217</x:v>
      </x:c>
    </x:row>
    <x:row r="270">
      <x:c r="A270" s="40" t="n">
        <x:v>266</x:v>
      </x:c>
      <x:c r="B270" s="40" t="n">
        <x:v>16</x:v>
      </x:c>
      <x:c r="C270" s="40" t="n">
        <x:v>11</x:v>
      </x:c>
      <x:c r="D270" s="36" t="str">
        <x:v>direita → esquerda</x:v>
      </x:c>
      <x:c r="E270" s="41" t="n">
        <x:v>0.7</x:v>
      </x:c>
      <x:c r="F270" s="41" t="n">
        <x:v>1.75</x:v>
      </x:c>
      <x:c r="G270" s="99" t="n">
        <x:v>34.172</x:v>
      </x:c>
    </x:row>
    <x:row r="271">
      <x:c r="A271" s="40" t="n">
        <x:v>267</x:v>
      </x:c>
      <x:c r="B271" s="40" t="n">
        <x:v>16</x:v>
      </x:c>
      <x:c r="C271" s="40" t="n">
        <x:v>12</x:v>
      </x:c>
      <x:c r="D271" s="36" t="str">
        <x:v>direita → esquerda</x:v>
      </x:c>
      <x:c r="E271" s="41" t="n">
        <x:v>0.44999999999999996</x:v>
      </x:c>
      <x:c r="F271" s="41" t="n">
        <x:v>1.75</x:v>
      </x:c>
      <x:c r="G271" s="99" t="n">
        <x:v>31.2679</x:v>
      </x:c>
    </x:row>
    <x:row r="272">
      <x:c r="A272" s="40" t="n">
        <x:v>268</x:v>
      </x:c>
      <x:c r="B272" s="40" t="n">
        <x:v>16</x:v>
      </x:c>
      <x:c r="C272" s="40" t="n">
        <x:v>13</x:v>
      </x:c>
      <x:c r="D272" s="36" t="str">
        <x:v>direita → esquerda</x:v>
      </x:c>
      <x:c r="E272" s="41" t="n">
        <x:v>0.19999999999999996</x:v>
      </x:c>
      <x:c r="F272" s="41" t="n">
        <x:v>1.75</x:v>
      </x:c>
      <x:c r="G272" s="99" t="n">
        <x:v>33.3965</x:v>
      </x:c>
    </x:row>
    <x:row r="273">
      <x:c r="A273" s="40" t="n">
        <x:v>269</x:v>
      </x:c>
      <x:c r="B273" s="40" t="n">
        <x:v>16</x:v>
      </x:c>
      <x:c r="C273" s="40" t="n">
        <x:v>14</x:v>
      </x:c>
      <x:c r="D273" s="36" t="str">
        <x:v>direita → esquerda</x:v>
      </x:c>
      <x:c r="E273" s="41" t="n">
        <x:v>-0.050000000000000044</x:v>
      </x:c>
      <x:c r="F273" s="41" t="n">
        <x:v>1.75</x:v>
      </x:c>
      <x:c r="G273" s="99" t="n">
        <x:v>37.0115</x:v>
      </x:c>
    </x:row>
    <x:row r="274">
      <x:c r="A274" s="40" t="n">
        <x:v>270</x:v>
      </x:c>
      <x:c r="B274" s="40" t="n">
        <x:v>16</x:v>
      </x:c>
      <x:c r="C274" s="40" t="n">
        <x:v>15</x:v>
      </x:c>
      <x:c r="D274" s="36" t="str">
        <x:v>direita → esquerda</x:v>
      </x:c>
      <x:c r="E274" s="41" t="n">
        <x:v>-0.30000000000000004</x:v>
      </x:c>
      <x:c r="F274" s="41" t="n">
        <x:v>1.75</x:v>
      </x:c>
      <x:c r="G274" s="99" t="n">
        <x:v>37.1273</x:v>
      </x:c>
    </x:row>
    <x:row r="275">
      <x:c r="A275" s="40" t="n">
        <x:v>271</x:v>
      </x:c>
      <x:c r="B275" s="40" t="n">
        <x:v>16</x:v>
      </x:c>
      <x:c r="C275" s="40" t="n">
        <x:v>16</x:v>
      </x:c>
      <x:c r="D275" s="36" t="str">
        <x:v>direita → esquerda</x:v>
      </x:c>
      <x:c r="E275" s="41" t="n">
        <x:v>-0.55</x:v>
      </x:c>
      <x:c r="F275" s="41" t="n">
        <x:v>1.75</x:v>
      </x:c>
      <x:c r="G275" s="99" t="n">
        <x:v>39.0895</x:v>
      </x:c>
    </x:row>
    <x:row r="276">
      <x:c r="A276" s="40" t="n">
        <x:v>272</x:v>
      </x:c>
      <x:c r="B276" s="40" t="n">
        <x:v>16</x:v>
      </x:c>
      <x:c r="C276" s="40" t="n">
        <x:v>17</x:v>
      </x:c>
      <x:c r="D276" s="36" t="str">
        <x:v>direita → esquerda</x:v>
      </x:c>
      <x:c r="E276" s="41" t="n">
        <x:v>-0.8</x:v>
      </x:c>
      <x:c r="F276" s="41" t="n">
        <x:v>1.75</x:v>
      </x:c>
      <x:c r="G276" s="99" t="n">
        <x:v>41.4965</x:v>
      </x:c>
    </x:row>
    <x:row r="277">
      <x:c r="A277" s="40" t="n">
        <x:v>273</x:v>
      </x:c>
      <x:c r="B277" s="40" t="n">
        <x:v>17</x:v>
      </x:c>
      <x:c r="C277" s="40" t="n">
        <x:v>1</x:v>
      </x:c>
      <x:c r="D277" s="36" t="str">
        <x:v>esquerda → direita</x:v>
      </x:c>
      <x:c r="E277" s="41" t="n">
        <x:v>-0.8</x:v>
      </x:c>
      <x:c r="F277" s="41" t="n">
        <x:v>2</x:v>
      </x:c>
      <x:c r="G277" s="99" t="n">
        <x:v>37.5183</x:v>
      </x:c>
    </x:row>
    <x:row r="278">
      <x:c r="A278" s="40" t="n">
        <x:v>274</x:v>
      </x:c>
      <x:c r="B278" s="40" t="n">
        <x:v>17</x:v>
      </x:c>
      <x:c r="C278" s="40" t="n">
        <x:v>2</x:v>
      </x:c>
      <x:c r="D278" s="36" t="str">
        <x:v>esquerda → direita</x:v>
      </x:c>
      <x:c r="E278" s="41" t="n">
        <x:v>-0.55</x:v>
      </x:c>
      <x:c r="F278" s="41" t="n">
        <x:v>2</x:v>
      </x:c>
      <x:c r="G278" s="99" t="n">
        <x:v>39.1213</x:v>
      </x:c>
    </x:row>
    <x:row r="279">
      <x:c r="A279" s="40" t="n">
        <x:v>275</x:v>
      </x:c>
      <x:c r="B279" s="40" t="n">
        <x:v>17</x:v>
      </x:c>
      <x:c r="C279" s="40" t="n">
        <x:v>3</x:v>
      </x:c>
      <x:c r="D279" s="36" t="str">
        <x:v>esquerda → direita</x:v>
      </x:c>
      <x:c r="E279" s="41" t="n">
        <x:v>-0.30000000000000004</x:v>
      </x:c>
      <x:c r="F279" s="41" t="n">
        <x:v>2</x:v>
      </x:c>
      <x:c r="G279" s="99" t="n">
        <x:v>37.3774</x:v>
      </x:c>
    </x:row>
    <x:row r="280">
      <x:c r="A280" s="40" t="n">
        <x:v>276</x:v>
      </x:c>
      <x:c r="B280" s="40" t="n">
        <x:v>17</x:v>
      </x:c>
      <x:c r="C280" s="40" t="n">
        <x:v>4</x:v>
      </x:c>
      <x:c r="D280" s="36" t="str">
        <x:v>esquerda → direita</x:v>
      </x:c>
      <x:c r="E280" s="41" t="n">
        <x:v>-0.050000000000000044</x:v>
      </x:c>
      <x:c r="F280" s="41" t="n">
        <x:v>2</x:v>
      </x:c>
      <x:c r="G280" s="99" t="n">
        <x:v>36.25</x:v>
      </x:c>
    </x:row>
    <x:row r="281">
      <x:c r="A281" s="40" t="n">
        <x:v>277</x:v>
      </x:c>
      <x:c r="B281" s="40" t="n">
        <x:v>17</x:v>
      </x:c>
      <x:c r="C281" s="40" t="n">
        <x:v>5</x:v>
      </x:c>
      <x:c r="D281" s="36" t="str">
        <x:v>esquerda → direita</x:v>
      </x:c>
      <x:c r="E281" s="41" t="n">
        <x:v>0.19999999999999996</x:v>
      </x:c>
      <x:c r="F281" s="41" t="n">
        <x:v>2</x:v>
      </x:c>
      <x:c r="G281" s="99" t="n">
        <x:v>36.5739</x:v>
      </x:c>
    </x:row>
    <x:row r="282">
      <x:c r="A282" s="40" t="n">
        <x:v>278</x:v>
      </x:c>
      <x:c r="B282" s="40" t="n">
        <x:v>17</x:v>
      </x:c>
      <x:c r="C282" s="40" t="n">
        <x:v>6</x:v>
      </x:c>
      <x:c r="D282" s="36" t="str">
        <x:v>esquerda → direita</x:v>
      </x:c>
      <x:c r="E282" s="41" t="n">
        <x:v>0.44999999999999996</x:v>
      </x:c>
      <x:c r="F282" s="41" t="n">
        <x:v>2</x:v>
      </x:c>
      <x:c r="G282" s="99" t="n">
        <x:v>39.1205</x:v>
      </x:c>
    </x:row>
    <x:row r="283">
      <x:c r="A283" s="40" t="n">
        <x:v>279</x:v>
      </x:c>
      <x:c r="B283" s="40" t="n">
        <x:v>17</x:v>
      </x:c>
      <x:c r="C283" s="40" t="n">
        <x:v>7</x:v>
      </x:c>
      <x:c r="D283" s="36" t="str">
        <x:v>esquerda → direita</x:v>
      </x:c>
      <x:c r="E283" s="41" t="n">
        <x:v>0.7</x:v>
      </x:c>
      <x:c r="F283" s="41" t="n">
        <x:v>2</x:v>
      </x:c>
      <x:c r="G283" s="99" t="n">
        <x:v>34.4117</x:v>
      </x:c>
    </x:row>
    <x:row r="284">
      <x:c r="A284" s="40" t="n">
        <x:v>280</x:v>
      </x:c>
      <x:c r="B284" s="40" t="n">
        <x:v>17</x:v>
      </x:c>
      <x:c r="C284" s="40" t="n">
        <x:v>8</x:v>
      </x:c>
      <x:c r="D284" s="36" t="str">
        <x:v>esquerda → direita</x:v>
      </x:c>
      <x:c r="E284" s="41" t="n">
        <x:v>0.95</x:v>
      </x:c>
      <x:c r="F284" s="41" t="n">
        <x:v>2</x:v>
      </x:c>
      <x:c r="G284" s="99" t="n">
        <x:v>39.2599</x:v>
      </x:c>
    </x:row>
    <x:row r="285">
      <x:c r="A285" s="40" t="n">
        <x:v>281</x:v>
      </x:c>
      <x:c r="B285" s="40" t="n">
        <x:v>17</x:v>
      </x:c>
      <x:c r="C285" s="40" t="n">
        <x:v>9</x:v>
      </x:c>
      <x:c r="D285" s="36" t="str">
        <x:v>esquerda → direita</x:v>
      </x:c>
      <x:c r="E285" s="41" t="n">
        <x:v>1.2</x:v>
      </x:c>
      <x:c r="F285" s="41" t="n">
        <x:v>2</x:v>
      </x:c>
      <x:c r="G285" s="99" t="n">
        <x:v>40.0054</x:v>
      </x:c>
    </x:row>
    <x:row r="286">
      <x:c r="A286" s="40" t="n">
        <x:v>282</x:v>
      </x:c>
      <x:c r="B286" s="40" t="n">
        <x:v>17</x:v>
      </x:c>
      <x:c r="C286" s="40" t="n">
        <x:v>10</x:v>
      </x:c>
      <x:c r="D286" s="36" t="str">
        <x:v>esquerda → direita</x:v>
      </x:c>
      <x:c r="E286" s="41" t="n">
        <x:v>1.45</x:v>
      </x:c>
      <x:c r="F286" s="41" t="n">
        <x:v>2</x:v>
      </x:c>
      <x:c r="G286" s="99" t="n">
        <x:v>36.7944</x:v>
      </x:c>
    </x:row>
    <x:row r="287">
      <x:c r="A287" s="40" t="n">
        <x:v>283</x:v>
      </x:c>
      <x:c r="B287" s="40" t="n">
        <x:v>17</x:v>
      </x:c>
      <x:c r="C287" s="40" t="n">
        <x:v>11</x:v>
      </x:c>
      <x:c r="D287" s="36" t="str">
        <x:v>esquerda → direita</x:v>
      </x:c>
      <x:c r="E287" s="41" t="n">
        <x:v>1.7</x:v>
      </x:c>
      <x:c r="F287" s="41" t="n">
        <x:v>2</x:v>
      </x:c>
      <x:c r="G287" s="99" t="n">
        <x:v>37.4338</x:v>
      </x:c>
    </x:row>
    <x:row r="288">
      <x:c r="A288" s="40" t="n">
        <x:v>284</x:v>
      </x:c>
      <x:c r="B288" s="40" t="n">
        <x:v>17</x:v>
      </x:c>
      <x:c r="C288" s="40" t="n">
        <x:v>12</x:v>
      </x:c>
      <x:c r="D288" s="36" t="str">
        <x:v>esquerda → direita</x:v>
      </x:c>
      <x:c r="E288" s="41" t="n">
        <x:v>1.95</x:v>
      </x:c>
      <x:c r="F288" s="41" t="n">
        <x:v>2</x:v>
      </x:c>
      <x:c r="G288" s="99" t="n">
        <x:v>33.8255</x:v>
      </x:c>
    </x:row>
    <x:row r="289">
      <x:c r="A289" s="40" t="n">
        <x:v>285</x:v>
      </x:c>
      <x:c r="B289" s="40" t="n">
        <x:v>17</x:v>
      </x:c>
      <x:c r="C289" s="40" t="n">
        <x:v>13</x:v>
      </x:c>
      <x:c r="D289" s="36" t="str">
        <x:v>esquerda → direita</x:v>
      </x:c>
      <x:c r="E289" s="41" t="n">
        <x:v>2.2</x:v>
      </x:c>
      <x:c r="F289" s="41" t="n">
        <x:v>2</x:v>
      </x:c>
      <x:c r="G289" s="99" t="n">
        <x:v>42.7751</x:v>
      </x:c>
    </x:row>
    <x:row r="290">
      <x:c r="A290" s="40" t="n">
        <x:v>286</x:v>
      </x:c>
      <x:c r="B290" s="40" t="n">
        <x:v>17</x:v>
      </x:c>
      <x:c r="C290" s="40" t="n">
        <x:v>14</x:v>
      </x:c>
      <x:c r="D290" s="36" t="str">
        <x:v>esquerda → direita</x:v>
      </x:c>
      <x:c r="E290" s="41" t="n">
        <x:v>2.45</x:v>
      </x:c>
      <x:c r="F290" s="41" t="n">
        <x:v>2</x:v>
      </x:c>
      <x:c r="G290" s="99" t="n">
        <x:v>39.9187</x:v>
      </x:c>
    </x:row>
    <x:row r="291">
      <x:c r="A291" s="40" t="n">
        <x:v>287</x:v>
      </x:c>
      <x:c r="B291" s="40" t="n">
        <x:v>17</x:v>
      </x:c>
      <x:c r="C291" s="40" t="n">
        <x:v>15</x:v>
      </x:c>
      <x:c r="D291" s="36" t="str">
        <x:v>esquerda → direita</x:v>
      </x:c>
      <x:c r="E291" s="41" t="n">
        <x:v>2.7</x:v>
      </x:c>
      <x:c r="F291" s="41" t="n">
        <x:v>2</x:v>
      </x:c>
      <x:c r="G291" s="99" t="n">
        <x:v>38.3911</x:v>
      </x:c>
    </x:row>
    <x:row r="292">
      <x:c r="A292" s="40" t="n">
        <x:v>288</x:v>
      </x:c>
      <x:c r="B292" s="40" t="n">
        <x:v>17</x:v>
      </x:c>
      <x:c r="C292" s="40" t="n">
        <x:v>16</x:v>
      </x:c>
      <x:c r="D292" s="36" t="str">
        <x:v>esquerda → direita</x:v>
      </x:c>
      <x:c r="E292" s="41" t="n">
        <x:v>2.95</x:v>
      </x:c>
      <x:c r="F292" s="41" t="n">
        <x:v>2</x:v>
      </x:c>
      <x:c r="G292" s="99" t="n">
        <x:v>38.4826</x:v>
      </x:c>
    </x:row>
    <x:row r="293">
      <x:c r="A293" s="40" t="n">
        <x:v>289</x:v>
      </x:c>
      <x:c r="B293" s="40" t="n">
        <x:v>17</x:v>
      </x:c>
      <x:c r="C293" s="40" t="n">
        <x:v>17</x:v>
      </x:c>
      <x:c r="D293" s="36" t="str">
        <x:v>esquerda → direita</x:v>
      </x:c>
      <x:c r="E293" s="41" t="n">
        <x:v>3.2</x:v>
      </x:c>
      <x:c r="F293" s="41" t="n">
        <x:v>2</x:v>
      </x:c>
      <x:c r="G293" s="99" t="n">
        <x:v>39.7845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3" ySplit="12" topLeftCell="D13" activePane="bottomRight" state="frozen"/>
    </x:sheetView>
  </x:sheetViews>
  <x:sheetFormatPr defaultRowHeight="15"/>
  <x:cols>
    <x:col min="1" max="1" width="9" hidden="0" customWidth="1"/>
    <x:col min="2" max="2" width="10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9" hidden="0" customWidth="1"/>
  </x:cols>
  <x:sheetData>
    <x:row r="1" ht="30" customHeight="1">
      <x:c r="A1" s="103" t="str">
        <x:v>COMPARAÇÃO REAL DE CAMPO — MTR-1522 — d = 0,30 m; hP = 30 mm</x:v>
      </x:c>
      <x:c r="B1" s="103"/>
      <x:c r="C1" s="103"/>
      <x:c r="D1" s="103"/>
      <x:c r="E1" s="103"/>
      <x:c r="F1" s="103"/>
      <x:c r="G1" s="103"/>
      <x:c r="H1" s="103"/>
      <x:c r="I1" s="103"/>
      <x:c r="J1" s="103"/>
    </x:row>
    <x:row r="2">
      <x:c r="A2" s="106" t="str">
        <x:v>289 leituras reais; sequência original preservada; percurso serpentina reconstruído; nenhuma suavização ou exclusão aplicada.</x:v>
      </x:c>
      <x:c r="B2" s="106"/>
      <x:c r="C2" s="106"/>
      <x:c r="D2" s="106"/>
      <x:c r="E2" s="106"/>
      <x:c r="F2" s="106"/>
      <x:c r="G2" s="106"/>
      <x:c r="H2" s="106"/>
      <x:c r="I2" s="106"/>
      <x:c r="J2" s="106"/>
    </x:row>
    <x:row r="4">
      <x:c r="A4" s="112" t="str">
        <x:v>PARÂMETRO</x:v>
      </x:c>
      <x:c r="B4" s="112" t="str">
        <x:v>VALOR</x:v>
      </x:c>
      <x:c r="C4" s="112" t="str">
        <x:v>UNIDADE</x:v>
      </x:c>
      <x:c r="D4" s="112" t="str">
        <x:v>OBSERVAÇÃO</x:v>
      </x:c>
      <x:c r="F4" s="112" t="str">
        <x:v>MÉTRICA</x:v>
      </x:c>
      <x:c r="G4" s="112" t="str">
        <x:v>VALOR</x:v>
      </x:c>
      <x:c r="H4" s="112" t="str">
        <x:v>UNIDADE</x:v>
      </x:c>
      <x:c r="I4" s="112" t="str">
        <x:v>INTERPRETAÇÃO</x:v>
      </x:c>
      <x:c r="J4" s="112" t="str"/>
    </x:row>
    <x:row r="5">
      <x:c r="A5" s="116" t="str">
        <x:v>R_ref da campanha</x:v>
      </x:c>
      <x:c r="B5" s="117" t="n">
        <x:v>41.6</x:v>
      </x:c>
      <x:c r="C5" s="116" t="str">
        <x:v>Ω</x:v>
      </x:c>
      <x:c r="D5" s="116" t="str">
        <x:v>Valor informado para d = 0,30 m</x:v>
      </x:c>
      <x:c r="F5" s="121" t="str">
        <x:v>MAPE</x:v>
      </x:c>
      <x:c r="G5" s="122" t="n">
        <x:v>0.043947167859278366</x:v>
      </x:c>
      <x:c r="H5" s="121" t="str"/>
      <x:c r="I5" s="121" t="str">
        <x:v>Erro percentual médio das leituras brutas</x:v>
      </x:c>
      <x:c r="J5" s="121" t="str"/>
    </x:row>
    <x:row r="6">
      <x:c r="A6" s="116" t="str">
        <x:v>Profundidade do eixo</x:v>
      </x:c>
      <x:c r="B6" s="117" t="n">
        <x:v>0.3</x:v>
      </x:c>
      <x:c r="C6" s="116" t="str">
        <x:v>m</x:v>
      </x:c>
      <x:c r="D6" s="116" t="str">
        <x:v>Haste horizontal 2,40 m × 12 mm</x:v>
      </x:c>
      <x:c r="F6" s="121" t="str">
        <x:v>MAE</x:v>
      </x:c>
      <x:c r="G6" s="123" t="n">
        <x:v>1.3027175941327478</x:v>
      </x:c>
      <x:c r="H6" s="121" t="str">
        <x:v>Ω</x:v>
      </x:c>
      <x:c r="I6" s="121" t="str">
        <x:v>Erro absoluto médio</x:v>
      </x:c>
      <x:c r="J6" s="121" t="str"/>
    </x:row>
    <x:row r="7">
      <x:c r="A7" s="116" t="str">
        <x:v>Inserção do probe</x:v>
      </x:c>
      <x:c r="B7" s="117" t="n">
        <x:v>0.03</x:v>
      </x:c>
      <x:c r="C7" s="116" t="str">
        <x:v>m</x:v>
      </x:c>
      <x:c r="D7" s="116" t="str">
        <x:v>Batente fixo de 30 mm</x:v>
      </x:c>
      <x:c r="F7" s="121" t="str">
        <x:v>RMSE</x:v>
      </x:c>
      <x:c r="G7" s="123" t="n">
        <x:v>1.6447255687465523</x:v>
      </x:c>
      <x:c r="H7" s="121" t="str">
        <x:v>Ω</x:v>
      </x:c>
      <x:c r="I7" s="121" t="str">
        <x:v>Penaliza diferenças locais maiores</x:v>
      </x:c>
      <x:c r="J7" s="121" t="str"/>
    </x:row>
    <x:row r="8">
      <x:c r="A8" s="116" t="str">
        <x:v>Resistividade adotada</x:v>
      </x:c>
      <x:c r="B8" s="117" t="n">
        <x:v>100</x:v>
      </x:c>
      <x:c r="C8" s="116" t="str">
        <x:v>Ω·m</x:v>
      </x:c>
      <x:c r="D8" s="116" t="str">
        <x:v>Referência analítica homogênea</x:v>
      </x:c>
      <x:c r="F8" s="121" t="str">
        <x:v>Viés médio</x:v>
      </x:c>
      <x:c r="G8" s="123" t="n">
        <x:v>0.29238429477622535</x:v>
      </x:c>
      <x:c r="H8" s="121" t="str">
        <x:v>Ω</x:v>
      </x:c>
      <x:c r="I8" s="121" t="str">
        <x:v>Positivo: leitura real ligeiramente maior</x:v>
      </x:c>
      <x:c r="J8" s="121" t="str"/>
    </x:row>
    <x:row r="9">
      <x:c r="A9" s="116" t="str">
        <x:v>Pontos válidos</x:v>
      </x:c>
      <x:c r="B9" s="117" t="n">
        <x:v>289</x:v>
      </x:c>
      <x:c r="C9" s="116" t="str"/>
      <x:c r="D9" s="116" t="str">
        <x:v>Índices completos de 1 a 289</x:v>
      </x:c>
      <x:c r="F9" s="121" t="str">
        <x:v>Correlação</x:v>
      </x:c>
      <x:c r="G9" s="123" t="n">
        <x:v>0.9582721293408623</x:v>
      </x:c>
      <x:c r="H9" s="121" t="str"/>
      <x:c r="I9" s="121" t="str">
        <x:v>Preservação do padrão espacial</x:v>
      </x:c>
      <x:c r="J9" s="121" t="str"/>
    </x:row>
    <x:row r="10">
      <x:c r="A10" s="116" t="str">
        <x:v>Aquisição</x:v>
      </x:c>
      <x:c r="B10" s="116" t="str">
        <x:v>serpentina</x:v>
      </x:c>
      <x:c r="C10" s="116" t="str"/>
      <x:c r="D10" s="116" t="str">
        <x:v>Sentido alternado a cada linha</x:v>
      </x:c>
      <x:c r="F10" s="121" t="str">
        <x:v>R²</x:v>
      </x:c>
      <x:c r="G10" s="123" t="n">
        <x:v>0.9051212193357496</x:v>
      </x:c>
      <x:c r="H10" s="121" t="str"/>
      <x:c r="I10" s="121" t="str">
        <x:v>Aderência global ao mapa ideal</x:v>
      </x:c>
      <x:c r="J10" s="121" t="str"/>
    </x:row>
    <x:row r="12" ht="34" customHeight="1">
      <x:c r="A12" s="112" t="str">
        <x:v>Ponto</x:v>
      </x:c>
      <x:c r="B12" s="112" t="str">
        <x:v>x (m)</x:v>
      </x:c>
      <x:c r="C12" s="112" t="str">
        <x:v>y (m)</x:v>
      </x:c>
      <x:c r="D12" s="112" t="str">
        <x:v>Z_ideal (Ω)</x:v>
      </x:c>
      <x:c r="E12" s="112" t="str">
        <x:v>R_esperada (Ω)</x:v>
      </x:c>
      <x:c r="F12" s="112" t="str">
        <x:v>R_medida (Ω)</x:v>
      </x:c>
      <x:c r="G12" s="112" t="str">
        <x:v>Z_campo (Ω)</x:v>
      </x:c>
      <x:c r="H12" s="112" t="str">
        <x:v>Resíduo (Ω)</x:v>
      </x:c>
      <x:c r="I12" s="112" t="str">
        <x:v>Resíduo (%)</x:v>
      </x:c>
      <x:c r="J12" s="112" t="str">
        <x:v>Observação</x:v>
      </x:c>
    </x:row>
    <x:row r="13">
      <x:c r="A13" s="40" t="n">
        <x:v>1</x:v>
      </x:c>
      <x:c r="B13" s="41" t="n">
        <x:v>-0.8</x:v>
      </x:c>
      <x:c r="C13" s="41" t="n">
        <x:v>-2</x:v>
      </x:c>
      <x:c r="D13" s="126" t="n">
        <x:v>5.667512417869882</x:v>
      </x:c>
      <x:c r="E13" s="126" t="n">
        <x:v>35.93248758213012</x:v>
      </x:c>
      <x:c r="F13" s="127" t="n">
        <x:v>34.7</x:v>
      </x:c>
      <x:c r="G13" s="123" t="n">
        <x:v>6.899999999999999</x:v>
      </x:c>
      <x:c r="H13" s="123" t="n">
        <x:v>-1.232487582130119</x:v>
      </x:c>
      <x:c r="I13" s="122" t="n">
        <x:v>-0.03430009067179244</x:v>
      </x:c>
      <x:c r="J13" s="36" t="str">
        <x:v>Leitura real — sequência serpentina</x:v>
      </x:c>
    </x:row>
    <x:row r="14">
      <x:c r="A14" s="40" t="n">
        <x:v>2</x:v>
      </x:c>
      <x:c r="B14" s="41" t="n">
        <x:v>-0.55</x:v>
      </x:c>
      <x:c r="C14" s="41" t="n">
        <x:v>-2</x:v>
      </x:c>
      <x:c r="D14" s="126" t="n">
        <x:v>5.995426377579167</x:v>
      </x:c>
      <x:c r="E14" s="126" t="n">
        <x:v>35.60457362242084</x:v>
      </x:c>
      <x:c r="F14" s="127" t="n">
        <x:v>36.3</x:v>
      </x:c>
      <x:c r="G14" s="123" t="n">
        <x:v>5.300000000000004</x:v>
      </x:c>
      <x:c r="H14" s="123" t="n">
        <x:v>0.6954263775791603</x:v>
      </x:c>
      <x:c r="I14" s="122" t="n">
        <x:v>0.019531939490527638</x:v>
      </x:c>
      <x:c r="J14" s="36" t="str">
        <x:v>Leitura real — sequência serpentina</x:v>
      </x:c>
    </x:row>
    <x:row r="15">
      <x:c r="A15" s="40" t="n">
        <x:v>3</x:v>
      </x:c>
      <x:c r="B15" s="41" t="n">
        <x:v>-0.30000000000000004</x:v>
      </x:c>
      <x:c r="C15" s="41" t="n">
        <x:v>-2</x:v>
      </x:c>
      <x:c r="D15" s="126" t="n">
        <x:v>6.321224229578958</x:v>
      </x:c>
      <x:c r="E15" s="126" t="n">
        <x:v>35.27877577042104</x:v>
      </x:c>
      <x:c r="F15" s="127" t="n">
        <x:v>32.1</x:v>
      </x:c>
      <x:c r="G15" s="123" t="n">
        <x:v>9.5</x:v>
      </x:c>
      <x:c r="H15" s="123" t="n">
        <x:v>-3.1787757704210406</x:v>
      </x:c>
      <x:c r="I15" s="122" t="n">
        <x:v>-0.09010448069703816</x:v>
      </x:c>
      <x:c r="J15" s="36" t="str">
        <x:v>Leitura real — sequência serpentina</x:v>
      </x:c>
    </x:row>
    <x:row r="16">
      <x:c r="A16" s="40" t="n">
        <x:v>4</x:v>
      </x:c>
      <x:c r="B16" s="41" t="n">
        <x:v>-0.050000000000000044</x:v>
      </x:c>
      <x:c r="C16" s="41" t="n">
        <x:v>-2</x:v>
      </x:c>
      <x:c r="D16" s="126" t="n">
        <x:v>6.632280102902117</x:v>
      </x:c>
      <x:c r="E16" s="126" t="n">
        <x:v>34.967719897097886</x:v>
      </x:c>
      <x:c r="F16" s="127" t="n">
        <x:v>37.7</x:v>
      </x:c>
      <x:c r="G16" s="123" t="n">
        <x:v>3.8999999999999986</x:v>
      </x:c>
      <x:c r="H16" s="123" t="n">
        <x:v>2.7322801029021164</x:v>
      </x:c>
      <x:c r="I16" s="122" t="n">
        <x:v>0.078137210860262</x:v>
      </x:c>
      <x:c r="J16" s="36" t="str">
        <x:v>Leitura real — sequência serpentina</x:v>
      </x:c>
    </x:row>
    <x:row r="17">
      <x:c r="A17" s="40" t="n">
        <x:v>5</x:v>
      </x:c>
      <x:c r="B17" s="41" t="n">
        <x:v>0.19999999999999996</x:v>
      </x:c>
      <x:c r="C17" s="41" t="n">
        <x:v>-2</x:v>
      </x:c>
      <x:c r="D17" s="126" t="n">
        <x:v>6.9140762188626175</x:v>
      </x:c>
      <x:c r="E17" s="126" t="n">
        <x:v>34.68592378113738</x:v>
      </x:c>
      <x:c r="F17" s="127" t="n">
        <x:v>36.1</x:v>
      </x:c>
      <x:c r="G17" s="123" t="n">
        <x:v>5.5</x:v>
      </x:c>
      <x:c r="H17" s="123" t="n">
        <x:v>1.4140762188626184</x:v>
      </x:c>
      <x:c r="I17" s="122" t="n">
        <x:v>0.04076801378522344</x:v>
      </x:c>
      <x:c r="J17" s="36" t="str">
        <x:v>Leitura real — sequência serpentina</x:v>
      </x:c>
    </x:row>
    <x:row r="18">
      <x:c r="A18" s="40" t="n">
        <x:v>6</x:v>
      </x:c>
      <x:c r="B18" s="41" t="n">
        <x:v>0.44999999999999996</x:v>
      </x:c>
      <x:c r="C18" s="41" t="n">
        <x:v>-2</x:v>
      </x:c>
      <x:c r="D18" s="126" t="n">
        <x:v>7.151794336503379</x:v>
      </x:c>
      <x:c r="E18" s="126" t="n">
        <x:v>34.44820566349662</x:v>
      </x:c>
      <x:c r="F18" s="127" t="n">
        <x:v>34.3</x:v>
      </x:c>
      <x:c r="G18" s="123" t="n">
        <x:v>7.300000000000004</x:v>
      </x:c>
      <x:c r="H18" s="123" t="n">
        <x:v>-0.14820566349662556</x:v>
      </x:c>
      <x:c r="I18" s="122" t="n">
        <x:v>-0.004302275275071095</x:v>
      </x:c>
      <x:c r="J18" s="36" t="str">
        <x:v>Leitura real — sequência serpentina</x:v>
      </x:c>
    </x:row>
    <x:row r="19">
      <x:c r="A19" s="40" t="n">
        <x:v>7</x:v>
      </x:c>
      <x:c r="B19" s="41" t="n">
        <x:v>0.7</x:v>
      </x:c>
      <x:c r="C19" s="41" t="n">
        <x:v>-2</x:v>
      </x:c>
      <x:c r="D19" s="126" t="n">
        <x:v>7.3320993226639954</x:v>
      </x:c>
      <x:c r="E19" s="126" t="n">
        <x:v>34.26790067733601</x:v>
      </x:c>
      <x:c r="F19" s="127" t="n">
        <x:v>34.1</x:v>
      </x:c>
      <x:c r="G19" s="123" t="n">
        <x:v>7.5</x:v>
      </x:c>
      <x:c r="H19" s="123" t="n">
        <x:v>-0.16790067733600722</x:v>
      </x:c>
      <x:c r="I19" s="122" t="n">
        <x:v>-0.0048996487680102565</x:v>
      </x:c>
      <x:c r="J19" s="36" t="str">
        <x:v>Leitura real — sequência serpentina</x:v>
      </x:c>
    </x:row>
    <x:row r="20">
      <x:c r="A20" s="40" t="n">
        <x:v>8</x:v>
      </x:c>
      <x:c r="B20" s="41" t="n">
        <x:v>0.95</x:v>
      </x:c>
      <x:c r="C20" s="41" t="n">
        <x:v>-2</x:v>
      </x:c>
      <x:c r="D20" s="126" t="n">
        <x:v>7.444618239210127</x:v>
      </x:c>
      <x:c r="E20" s="126" t="n">
        <x:v>34.15538176078987</x:v>
      </x:c>
      <x:c r="F20" s="127" t="n">
        <x:v>35</x:v>
      </x:c>
      <x:c r="G20" s="123" t="n">
        <x:v>6.600000000000001</x:v>
      </x:c>
      <x:c r="H20" s="123" t="n">
        <x:v>0.8446182392101278</x:v>
      </x:c>
      <x:c r="I20" s="122" t="n">
        <x:v>0.02472870147157141</x:v>
      </x:c>
      <x:c r="J20" s="36" t="str">
        <x:v>Leitura real — sequência serpentina</x:v>
      </x:c>
    </x:row>
    <x:row r="21">
      <x:c r="A21" s="40" t="n">
        <x:v>9</x:v>
      </x:c>
      <x:c r="B21" s="41" t="n">
        <x:v>1.2</x:v>
      </x:c>
      <x:c r="C21" s="41" t="n">
        <x:v>-2</x:v>
      </x:c>
      <x:c r="D21" s="126" t="n">
        <x:v>7.4828577464319235</x:v>
      </x:c>
      <x:c r="E21" s="126" t="n">
        <x:v>34.117142253568076</x:v>
      </x:c>
      <x:c r="F21" s="127" t="n">
        <x:v>34</x:v>
      </x:c>
      <x:c r="G21" s="123" t="n">
        <x:v>7.600000000000001</x:v>
      </x:c>
      <x:c r="H21" s="123" t="n">
        <x:v>-0.11714225356807617</x:v>
      </x:c>
      <x:c r="I21" s="122" t="n">
        <x:v>-0.003433530648535637</x:v>
      </x:c>
      <x:c r="J21" s="36" t="str">
        <x:v>Leitura real — sequência serpentina</x:v>
      </x:c>
    </x:row>
    <x:row r="22">
      <x:c r="A22" s="40" t="n">
        <x:v>10</x:v>
      </x:c>
      <x:c r="B22" s="41" t="n">
        <x:v>1.45</x:v>
      </x:c>
      <x:c r="C22" s="41" t="n">
        <x:v>-2</x:v>
      </x:c>
      <x:c r="D22" s="126" t="n">
        <x:v>7.444618239210127</x:v>
      </x:c>
      <x:c r="E22" s="126" t="n">
        <x:v>34.15538176078987</x:v>
      </x:c>
      <x:c r="F22" s="127" t="n">
        <x:v>34.2</x:v>
      </x:c>
      <x:c r="G22" s="123" t="n">
        <x:v>7.399999999999999</x:v>
      </x:c>
      <x:c r="H22" s="123" t="n">
        <x:v>0.04461823921013064</x:v>
      </x:c>
      <x:c r="I22" s="122" t="n">
        <x:v>0.0013063311522212892</x:v>
      </x:c>
      <x:c r="J22" s="36" t="str">
        <x:v>Leitura real — sequência serpentina</x:v>
      </x:c>
    </x:row>
    <x:row r="23">
      <x:c r="A23" s="40" t="n">
        <x:v>11</x:v>
      </x:c>
      <x:c r="B23" s="41" t="n">
        <x:v>1.7</x:v>
      </x:c>
      <x:c r="C23" s="41" t="n">
        <x:v>-2</x:v>
      </x:c>
      <x:c r="D23" s="126" t="n">
        <x:v>7.3320993226639954</x:v>
      </x:c>
      <x:c r="E23" s="126" t="n">
        <x:v>34.26790067733601</x:v>
      </x:c>
      <x:c r="F23" s="127" t="n">
        <x:v>35.9</x:v>
      </x:c>
      <x:c r="G23" s="123" t="n">
        <x:v>5.700000000000003</x:v>
      </x:c>
      <x:c r="H23" s="123" t="n">
        <x:v>1.63209932266399</x:v>
      </x:c>
      <x:c r="I23" s="122" t="n">
        <x:v>0.04762764249936741</x:v>
      </x:c>
      <x:c r="J23" s="36" t="str">
        <x:v>Leitura real — sequência serpentina</x:v>
      </x:c>
    </x:row>
    <x:row r="24">
      <x:c r="A24" s="40" t="n">
        <x:v>12</x:v>
      </x:c>
      <x:c r="B24" s="41" t="n">
        <x:v>1.95</x:v>
      </x:c>
      <x:c r="C24" s="41" t="n">
        <x:v>-2</x:v>
      </x:c>
      <x:c r="D24" s="126" t="n">
        <x:v>7.151794336503379</x:v>
      </x:c>
      <x:c r="E24" s="126" t="n">
        <x:v>34.44820566349662</x:v>
      </x:c>
      <x:c r="F24" s="127" t="n">
        <x:v>35.8</x:v>
      </x:c>
      <x:c r="G24" s="123" t="n">
        <x:v>5.800000000000004</x:v>
      </x:c>
      <x:c r="H24" s="123" t="n">
        <x:v>1.3517943365033744</x:v>
      </x:c>
      <x:c r="I24" s="122" t="n">
        <x:v>0.0392413570015293</x:v>
      </x:c>
      <x:c r="J24" s="36" t="str">
        <x:v>Leitura real — sequência serpentina</x:v>
      </x:c>
    </x:row>
    <x:row r="25">
      <x:c r="A25" s="40" t="n">
        <x:v>13</x:v>
      </x:c>
      <x:c r="B25" s="41" t="n">
        <x:v>2.2</x:v>
      </x:c>
      <x:c r="C25" s="41" t="n">
        <x:v>-2</x:v>
      </x:c>
      <x:c r="D25" s="126" t="n">
        <x:v>6.914076218862617</x:v>
      </x:c>
      <x:c r="E25" s="126" t="n">
        <x:v>34.68592378113738</x:v>
      </x:c>
      <x:c r="F25" s="127" t="n">
        <x:v>35</x:v>
      </x:c>
      <x:c r="G25" s="123" t="n">
        <x:v>6.600000000000001</x:v>
      </x:c>
      <x:c r="H25" s="123" t="n">
        <x:v>0.31407621886261694</x:v>
      </x:c>
      <x:c r="I25" s="122" t="n">
        <x:v>0.009054861010604404</x:v>
      </x:c>
      <x:c r="J25" s="36" t="str">
        <x:v>Leitura real — sequência serpentina</x:v>
      </x:c>
    </x:row>
    <x:row r="26">
      <x:c r="A26" s="40" t="n">
        <x:v>14</x:v>
      </x:c>
      <x:c r="B26" s="41" t="n">
        <x:v>2.45</x:v>
      </x:c>
      <x:c r="C26" s="41" t="n">
        <x:v>-2</x:v>
      </x:c>
      <x:c r="D26" s="126" t="n">
        <x:v>6.632280102902117</x:v>
      </x:c>
      <x:c r="E26" s="126" t="n">
        <x:v>34.967719897097886</x:v>
      </x:c>
      <x:c r="F26" s="127" t="n">
        <x:v>35.3</x:v>
      </x:c>
      <x:c r="G26" s="123" t="n">
        <x:v>6.300000000000004</x:v>
      </x:c>
      <x:c r="H26" s="123" t="n">
        <x:v>0.33228010290211074</x:v>
      </x:c>
      <x:c r="I26" s="122" t="n">
        <x:v>0.00950248125642553</x:v>
      </x:c>
      <x:c r="J26" s="36" t="str">
        <x:v>Leitura real — sequência serpentina</x:v>
      </x:c>
    </x:row>
    <x:row r="27">
      <x:c r="A27" s="40" t="n">
        <x:v>15</x:v>
      </x:c>
      <x:c r="B27" s="41" t="n">
        <x:v>2.7</x:v>
      </x:c>
      <x:c r="C27" s="41" t="n">
        <x:v>-2</x:v>
      </x:c>
      <x:c r="D27" s="126" t="n">
        <x:v>6.321224229578957</x:v>
      </x:c>
      <x:c r="E27" s="126" t="n">
        <x:v>35.27877577042104</x:v>
      </x:c>
      <x:c r="F27" s="127" t="n">
        <x:v>36.1</x:v>
      </x:c>
      <x:c r="G27" s="123" t="n">
        <x:v>5.5</x:v>
      </x:c>
      <x:c r="H27" s="123" t="n">
        <x:v>0.8212242295789594</x:v>
      </x:c>
      <x:c r="I27" s="122" t="n">
        <x:v>0.023278138530745233</x:v>
      </x:c>
      <x:c r="J27" s="36" t="str">
        <x:v>Leitura real — sequência serpentina</x:v>
      </x:c>
    </x:row>
    <x:row r="28">
      <x:c r="A28" s="40" t="n">
        <x:v>16</x:v>
      </x:c>
      <x:c r="B28" s="41" t="n">
        <x:v>2.95</x:v>
      </x:c>
      <x:c r="C28" s="41" t="n">
        <x:v>-2</x:v>
      </x:c>
      <x:c r="D28" s="126" t="n">
        <x:v>5.995426377579165</x:v>
      </x:c>
      <x:c r="E28" s="126" t="n">
        <x:v>35.60457362242084</x:v>
      </x:c>
      <x:c r="F28" s="127" t="n">
        <x:v>35</x:v>
      </x:c>
      <x:c r="G28" s="123" t="n">
        <x:v>6.600000000000001</x:v>
      </x:c>
      <x:c r="H28" s="123" t="n">
        <x:v>-0.6045736224208369</x:v>
      </x:c>
      <x:c r="I28" s="122" t="n">
        <x:v>-0.016980223631722587</x:v>
      </x:c>
      <x:c r="J28" s="36" t="str">
        <x:v>Leitura real — sequência serpentina</x:v>
      </x:c>
    </x:row>
    <x:row r="29">
      <x:c r="A29" s="40" t="n">
        <x:v>17</x:v>
      </x:c>
      <x:c r="B29" s="41" t="n">
        <x:v>3.2</x:v>
      </x:c>
      <x:c r="C29" s="41" t="n">
        <x:v>-2</x:v>
      </x:c>
      <x:c r="D29" s="126" t="n">
        <x:v>5.667512417869881</x:v>
      </x:c>
      <x:c r="E29" s="126" t="n">
        <x:v>35.93248758213012</x:v>
      </x:c>
      <x:c r="F29" s="127" t="n">
        <x:v>35.7</x:v>
      </x:c>
      <x:c r="G29" s="123" t="n">
        <x:v>5.899999999999999</x:v>
      </x:c>
      <x:c r="H29" s="123" t="n">
        <x:v>-0.2324875821301191</x:v>
      </x:c>
      <x:c r="I29" s="122" t="n">
        <x:v>-0.006470122103256202</x:v>
      </x:c>
      <x:c r="J29" s="36" t="str">
        <x:v>Leitura real — sequência serpentina</x:v>
      </x:c>
    </x:row>
    <x:row r="30">
      <x:c r="A30" s="40" t="n">
        <x:v>18</x:v>
      </x:c>
      <x:c r="B30" s="41" t="n">
        <x:v>-0.8</x:v>
      </x:c>
      <x:c r="C30" s="41" t="n">
        <x:v>-1.75</x:v>
      </x:c>
      <x:c r="D30" s="126" t="n">
        <x:v>6.075995678677936</x:v>
      </x:c>
      <x:c r="E30" s="126" t="n">
        <x:v>35.52400432132207</x:v>
      </x:c>
      <x:c r="F30" s="127" t="n">
        <x:v>38.1</x:v>
      </x:c>
      <x:c r="G30" s="123" t="n">
        <x:v>3.5</x:v>
      </x:c>
      <x:c r="H30" s="123" t="n">
        <x:v>2.575995678677934</x:v>
      </x:c>
      <x:c r="I30" s="122" t="n">
        <x:v>0.07251422602523953</x:v>
      </x:c>
      <x:c r="J30" s="36" t="str">
        <x:v>Leitura real — sequência serpentina</x:v>
      </x:c>
    </x:row>
    <x:row r="31">
      <x:c r="A31" s="40" t="n">
        <x:v>19</x:v>
      </x:c>
      <x:c r="B31" s="41" t="n">
        <x:v>-0.55</x:v>
      </x:c>
      <x:c r="C31" s="41" t="n">
        <x:v>-1.75</x:v>
      </x:c>
      <x:c r="D31" s="126" t="n">
        <x:v>6.483127118749655</x:v>
      </x:c>
      <x:c r="E31" s="126" t="n">
        <x:v>35.116872881250345</x:v>
      </x:c>
      <x:c r="F31" s="127" t="n">
        <x:v>37.1</x:v>
      </x:c>
      <x:c r="G31" s="123" t="n">
        <x:v>4.5</x:v>
      </x:c>
      <x:c r="H31" s="123" t="n">
        <x:v>1.9831271187496569</x:v>
      </x:c>
      <x:c r="I31" s="122" t="n">
        <x:v>0.056472201424532055</x:v>
      </x:c>
      <x:c r="J31" s="36" t="str">
        <x:v>Leitura real — sequência serpentina</x:v>
      </x:c>
    </x:row>
    <x:row r="32">
      <x:c r="A32" s="40" t="n">
        <x:v>20</x:v>
      </x:c>
      <x:c r="B32" s="41" t="n">
        <x:v>-0.30000000000000004</x:v>
      </x:c>
      <x:c r="C32" s="41" t="n">
        <x:v>-1.75</x:v>
      </x:c>
      <x:c r="D32" s="126" t="n">
        <x:v>6.895562318049271</x:v>
      </x:c>
      <x:c r="E32" s="126" t="n">
        <x:v>34.70443768195073</x:v>
      </x:c>
      <x:c r="F32" s="127" t="n">
        <x:v>37.6</x:v>
      </x:c>
      <x:c r="G32" s="123" t="n">
        <x:v>4</x:v>
      </x:c>
      <x:c r="H32" s="123" t="n">
        <x:v>2.895562318049272</x:v>
      </x:c>
      <x:c r="I32" s="122" t="n">
        <x:v>0.08343492969359396</x:v>
      </x:c>
      <x:c r="J32" s="36" t="str">
        <x:v>Leitura real — sequência serpentina</x:v>
      </x:c>
    </x:row>
    <x:row r="33">
      <x:c r="A33" s="40" t="n">
        <x:v>21</x:v>
      </x:c>
      <x:c r="B33" s="41" t="n">
        <x:v>-0.050000000000000044</x:v>
      </x:c>
      <x:c r="C33" s="41" t="n">
        <x:v>-1.75</x:v>
      </x:c>
      <x:c r="D33" s="126" t="n">
        <x:v>7.295901003432434</x:v>
      </x:c>
      <x:c r="E33" s="126" t="n">
        <x:v>34.30409899656757</x:v>
      </x:c>
      <x:c r="F33" s="127" t="n">
        <x:v>32.8</x:v>
      </x:c>
      <x:c r="G33" s="123" t="n">
        <x:v>8.800000000000004</x:v>
      </x:c>
      <x:c r="H33" s="123" t="n">
        <x:v>-1.5040989965675706</x:v>
      </x:c>
      <x:c r="I33" s="122" t="n">
        <x:v>-0.0438460429092765</x:v>
      </x:c>
      <x:c r="J33" s="36" t="str">
        <x:v>Leitura real — sequência serpentina</x:v>
      </x:c>
    </x:row>
    <x:row r="34">
      <x:c r="A34" s="40" t="n">
        <x:v>22</x:v>
      </x:c>
      <x:c r="B34" s="41" t="n">
        <x:v>0.19999999999999996</x:v>
      </x:c>
      <x:c r="C34" s="41" t="n">
        <x:v>-1.75</x:v>
      </x:c>
      <x:c r="D34" s="126" t="n">
        <x:v>7.663134743497206</x:v>
      </x:c>
      <x:c r="E34" s="126" t="n">
        <x:v>33.9368652565028</x:v>
      </x:c>
      <x:c r="F34" s="127" t="n">
        <x:v>34.8</x:v>
      </x:c>
      <x:c r="G34" s="123" t="n">
        <x:v>6.800000000000004</x:v>
      </x:c>
      <x:c r="H34" s="123" t="n">
        <x:v>0.8631347434971985</x:v>
      </x:c>
      <x:c r="I34" s="122" t="n">
        <x:v>0.025433543639738775</x:v>
      </x:c>
      <x:c r="J34" s="36" t="str">
        <x:v>Leitura real — sequência serpentina</x:v>
      </x:c>
    </x:row>
    <x:row r="35">
      <x:c r="A35" s="40" t="n">
        <x:v>23</x:v>
      </x:c>
      <x:c r="B35" s="41" t="n">
        <x:v>0.44999999999999996</x:v>
      </x:c>
      <x:c r="C35" s="41" t="n">
        <x:v>-1.75</x:v>
      </x:c>
      <x:c r="D35" s="126" t="n">
        <x:v>7.975441234084258</x:v>
      </x:c>
      <x:c r="E35" s="126" t="n">
        <x:v>33.624558765915744</x:v>
      </x:c>
      <x:c r="F35" s="127" t="n">
        <x:v>32</x:v>
      </x:c>
      <x:c r="G35" s="123" t="n">
        <x:v>9.600000000000001</x:v>
      </x:c>
      <x:c r="H35" s="123" t="n">
        <x:v>-1.6245587659157437</x:v>
      </x:c>
      <x:c r="I35" s="122" t="n">
        <x:v>-0.04831464933786767</x:v>
      </x:c>
      <x:c r="J35" s="36" t="str">
        <x:v>Leitura real — sequência serpentina</x:v>
      </x:c>
    </x:row>
    <x:row r="36">
      <x:c r="A36" s="40" t="n">
        <x:v>24</x:v>
      </x:c>
      <x:c r="B36" s="41" t="n">
        <x:v>0.7</x:v>
      </x:c>
      <x:c r="C36" s="41" t="n">
        <x:v>-1.75</x:v>
      </x:c>
      <x:c r="D36" s="126" t="n">
        <x:v>8.213345278883168</x:v>
      </x:c>
      <x:c r="E36" s="126" t="n">
        <x:v>33.386654721116834</x:v>
      </x:c>
      <x:c r="F36" s="127" t="n">
        <x:v>36.2</x:v>
      </x:c>
      <x:c r="G36" s="123" t="n">
        <x:v>5.399999999999999</x:v>
      </x:c>
      <x:c r="H36" s="123" t="n">
        <x:v>2.813345278883169</x:v>
      </x:c>
      <x:c r="I36" s="122" t="n">
        <x:v>0.08426556366258962</x:v>
      </x:c>
      <x:c r="J36" s="36" t="str">
        <x:v>Leitura real — sequência serpentina</x:v>
      </x:c>
    </x:row>
    <x:row r="37">
      <x:c r="A37" s="40" t="n">
        <x:v>25</x:v>
      </x:c>
      <x:c r="B37" s="41" t="n">
        <x:v>0.95</x:v>
      </x:c>
      <x:c r="C37" s="41" t="n">
        <x:v>-1.75</x:v>
      </x:c>
      <x:c r="D37" s="126" t="n">
        <x:v>8.362074092583645</x:v>
      </x:c>
      <x:c r="E37" s="126" t="n">
        <x:v>33.237925907416354</x:v>
      </x:c>
      <x:c r="F37" s="127" t="n">
        <x:v>32.5</x:v>
      </x:c>
      <x:c r="G37" s="123" t="n">
        <x:v>9.100000000000001</x:v>
      </x:c>
      <x:c r="H37" s="123" t="n">
        <x:v>-0.7379259074163542</x:v>
      </x:c>
      <x:c r="I37" s="122" t="n">
        <x:v>-0.02220132235302027</x:v>
      </x:c>
      <x:c r="J37" s="36" t="str">
        <x:v>Leitura real — sequência serpentina</x:v>
      </x:c>
    </x:row>
    <x:row r="38">
      <x:c r="A38" s="40" t="n">
        <x:v>26</x:v>
      </x:c>
      <x:c r="B38" s="41" t="n">
        <x:v>1.2</x:v>
      </x:c>
      <x:c r="C38" s="41" t="n">
        <x:v>-1.75</x:v>
      </x:c>
      <x:c r="D38" s="126" t="n">
        <x:v>8.412645307221704</x:v>
      </x:c>
      <x:c r="E38" s="126" t="n">
        <x:v>33.1873546927783</x:v>
      </x:c>
      <x:c r="F38" s="127" t="n">
        <x:v>36.8</x:v>
      </x:c>
      <x:c r="G38" s="123" t="n">
        <x:v>4.800000000000004</x:v>
      </x:c>
      <x:c r="H38" s="123" t="n">
        <x:v>3.6126453072216975</x:v>
      </x:c>
      <x:c r="I38" s="122" t="n">
        <x:v>0.10885607908990177</x:v>
      </x:c>
      <x:c r="J38" s="36" t="str">
        <x:v>Leitura real — sequência serpentina</x:v>
      </x:c>
    </x:row>
    <x:row r="39">
      <x:c r="A39" s="40" t="n">
        <x:v>27</x:v>
      </x:c>
      <x:c r="B39" s="41" t="n">
        <x:v>1.45</x:v>
      </x:c>
      <x:c r="C39" s="41" t="n">
        <x:v>-1.75</x:v>
      </x:c>
      <x:c r="D39" s="126" t="n">
        <x:v>8.362074092583645</x:v>
      </x:c>
      <x:c r="E39" s="126" t="n">
        <x:v>33.237925907416354</x:v>
      </x:c>
      <x:c r="F39" s="127" t="n">
        <x:v>34.9</x:v>
      </x:c>
      <x:c r="G39" s="123" t="n">
        <x:v>6.700000000000003</x:v>
      </x:c>
      <x:c r="H39" s="123" t="n">
        <x:v>1.6620740925836444</x:v>
      </x:c>
      <x:c r="I39" s="122" t="n">
        <x:v>0.050005349227064344</x:v>
      </x:c>
      <x:c r="J39" s="36" t="str">
        <x:v>Leitura real — sequência serpentina</x:v>
      </x:c>
    </x:row>
    <x:row r="40">
      <x:c r="A40" s="40" t="n">
        <x:v>28</x:v>
      </x:c>
      <x:c r="B40" s="41" t="n">
        <x:v>1.7</x:v>
      </x:c>
      <x:c r="C40" s="41" t="n">
        <x:v>-1.75</x:v>
      </x:c>
      <x:c r="D40" s="126" t="n">
        <x:v>8.213345278883168</x:v>
      </x:c>
      <x:c r="E40" s="126" t="n">
        <x:v>33.386654721116834</x:v>
      </x:c>
      <x:c r="F40" s="127" t="n">
        <x:v>33.7</x:v>
      </x:c>
      <x:c r="G40" s="123" t="n">
        <x:v>7.899999999999999</x:v>
      </x:c>
      <x:c r="H40" s="123" t="n">
        <x:v>0.313345278883169</x:v>
      </x:c>
      <x:c r="I40" s="122" t="n">
        <x:v>0.009385345177604159</x:v>
      </x:c>
      <x:c r="J40" s="36" t="str">
        <x:v>Leitura real — sequência serpentina</x:v>
      </x:c>
    </x:row>
    <x:row r="41">
      <x:c r="A41" s="40" t="n">
        <x:v>29</x:v>
      </x:c>
      <x:c r="B41" s="41" t="n">
        <x:v>1.95</x:v>
      </x:c>
      <x:c r="C41" s="41" t="n">
        <x:v>-1.75</x:v>
      </x:c>
      <x:c r="D41" s="126" t="n">
        <x:v>7.975441234084258</x:v>
      </x:c>
      <x:c r="E41" s="126" t="n">
        <x:v>33.624558765915744</x:v>
      </x:c>
      <x:c r="F41" s="127" t="n">
        <x:v>33.8</x:v>
      </x:c>
      <x:c r="G41" s="123" t="n">
        <x:v>7.800000000000004</x:v>
      </x:c>
      <x:c r="H41" s="123" t="n">
        <x:v>0.1754412340842535</x:v>
      </x:c>
      <x:c r="I41" s="122" t="n">
        <x:v>0.005217651636877188</x:v>
      </x:c>
      <x:c r="J41" s="36" t="str">
        <x:v>Leitura real — sequência serpentina</x:v>
      </x:c>
    </x:row>
    <x:row r="42">
      <x:c r="A42" s="40" t="n">
        <x:v>30</x:v>
      </x:c>
      <x:c r="B42" s="41" t="n">
        <x:v>2.2</x:v>
      </x:c>
      <x:c r="C42" s="41" t="n">
        <x:v>-1.75</x:v>
      </x:c>
      <x:c r="D42" s="126" t="n">
        <x:v>7.663134743497205</x:v>
      </x:c>
      <x:c r="E42" s="126" t="n">
        <x:v>33.9368652565028</x:v>
      </x:c>
      <x:c r="F42" s="127" t="n">
        <x:v>35.6</x:v>
      </x:c>
      <x:c r="G42" s="123" t="n">
        <x:v>6</x:v>
      </x:c>
      <x:c r="H42" s="123" t="n">
        <x:v>1.6631347434972028</x:v>
      </x:c>
      <x:c r="I42" s="122" t="n">
        <x:v>0.04900672855099726</x:v>
      </x:c>
      <x:c r="J42" s="36" t="str">
        <x:v>Leitura real — sequência serpentina</x:v>
      </x:c>
    </x:row>
    <x:row r="43">
      <x:c r="A43" s="40" t="n">
        <x:v>31</x:v>
      </x:c>
      <x:c r="B43" s="41" t="n">
        <x:v>2.45</x:v>
      </x:c>
      <x:c r="C43" s="41" t="n">
        <x:v>-1.75</x:v>
      </x:c>
      <x:c r="D43" s="126" t="n">
        <x:v>7.295901003432434</x:v>
      </x:c>
      <x:c r="E43" s="126" t="n">
        <x:v>34.30409899656757</x:v>
      </x:c>
      <x:c r="F43" s="127" t="n">
        <x:v>34</x:v>
      </x:c>
      <x:c r="G43" s="123" t="n">
        <x:v>7.600000000000001</x:v>
      </x:c>
      <x:c r="H43" s="123" t="n">
        <x:v>-0.3040989965675678</x:v>
      </x:c>
      <x:c r="I43" s="122" t="n">
        <x:v>-0.008864800576688973</x:v>
      </x:c>
      <x:c r="J43" s="36" t="str">
        <x:v>Leitura real — sequência serpentina</x:v>
      </x:c>
    </x:row>
    <x:row r="44">
      <x:c r="A44" s="40" t="n">
        <x:v>32</x:v>
      </x:c>
      <x:c r="B44" s="41" t="n">
        <x:v>2.7</x:v>
      </x:c>
      <x:c r="C44" s="41" t="n">
        <x:v>-1.75</x:v>
      </x:c>
      <x:c r="D44" s="126" t="n">
        <x:v>6.895562318049271</x:v>
      </x:c>
      <x:c r="E44" s="126" t="n">
        <x:v>34.70443768195073</x:v>
      </x:c>
      <x:c r="F44" s="127" t="n">
        <x:v>32.8</x:v>
      </x:c>
      <x:c r="G44" s="123" t="n">
        <x:v>8.800000000000004</x:v>
      </x:c>
      <x:c r="H44" s="123" t="n">
        <x:v>-1.904437681950732</x:v>
      </x:c>
      <x:c r="I44" s="122" t="n">
        <x:v>-0.054875912394950065</x:v>
      </x:c>
      <x:c r="J44" s="36" t="str">
        <x:v>Leitura real — sequência serpentina</x:v>
      </x:c>
    </x:row>
    <x:row r="45">
      <x:c r="A45" s="40" t="n">
        <x:v>33</x:v>
      </x:c>
      <x:c r="B45" s="41" t="n">
        <x:v>2.95</x:v>
      </x:c>
      <x:c r="C45" s="41" t="n">
        <x:v>-1.75</x:v>
      </x:c>
      <x:c r="D45" s="126" t="n">
        <x:v>6.483127118749654</x:v>
      </x:c>
      <x:c r="E45" s="126" t="n">
        <x:v>35.116872881250345</x:v>
      </x:c>
      <x:c r="F45" s="127" t="n">
        <x:v>35.4</x:v>
      </x:c>
      <x:c r="G45" s="123" t="n">
        <x:v>6.200000000000003</x:v>
      </x:c>
      <x:c r="H45" s="123" t="n">
        <x:v>0.283127118749654</x:v>
      </x:c>
      <x:c r="I45" s="122" t="n">
        <x:v>0.008062424000766358</x:v>
      </x:c>
      <x:c r="J45" s="36" t="str">
        <x:v>Leitura real — sequência serpentina</x:v>
      </x:c>
    </x:row>
    <x:row r="46">
      <x:c r="A46" s="40" t="n">
        <x:v>34</x:v>
      </x:c>
      <x:c r="B46" s="41" t="n">
        <x:v>3.2</x:v>
      </x:c>
      <x:c r="C46" s="41" t="n">
        <x:v>-1.75</x:v>
      </x:c>
      <x:c r="D46" s="126" t="n">
        <x:v>6.075995678677934</x:v>
      </x:c>
      <x:c r="E46" s="126" t="n">
        <x:v>35.52400432132207</x:v>
      </x:c>
      <x:c r="F46" s="127" t="n">
        <x:v>37</x:v>
      </x:c>
      <x:c r="G46" s="123" t="n">
        <x:v>4.600000000000001</x:v>
      </x:c>
      <x:c r="H46" s="123" t="n">
        <x:v>1.4759956786779327</x:v>
      </x:c>
      <x:c r="I46" s="122" t="n">
        <x:v>0.04154924837096748</x:v>
      </x:c>
      <x:c r="J46" s="36" t="str">
        <x:v>Leitura real — sequência serpentina</x:v>
      </x:c>
    </x:row>
    <x:row r="47">
      <x:c r="A47" s="40" t="n">
        <x:v>35</x:v>
      </x:c>
      <x:c r="B47" s="41" t="n">
        <x:v>-0.8</x:v>
      </x:c>
      <x:c r="C47" s="41" t="n">
        <x:v>-1.5</x:v>
      </x:c>
      <x:c r="D47" s="126" t="n">
        <x:v>6.524938525054826</x:v>
      </x:c>
      <x:c r="E47" s="126" t="n">
        <x:v>35.07506147494517</x:v>
      </x:c>
      <x:c r="F47" s="127" t="n">
        <x:v>34</x:v>
      </x:c>
      <x:c r="G47" s="123" t="n">
        <x:v>7.600000000000001</x:v>
      </x:c>
      <x:c r="H47" s="123" t="n">
        <x:v>-1.0750614749451728</x:v>
      </x:c>
      <x:c r="I47" s="122" t="n">
        <x:v>-0.03065030907253323</x:v>
      </x:c>
      <x:c r="J47" s="36" t="str">
        <x:v>Leitura real — sequência serpentina</x:v>
      </x:c>
    </x:row>
    <x:row r="48">
      <x:c r="A48" s="40" t="n">
        <x:v>36</x:v>
      </x:c>
      <x:c r="B48" s="41" t="n">
        <x:v>-0.55</x:v>
      </x:c>
      <x:c r="C48" s="41" t="n">
        <x:v>-1.5</x:v>
      </x:c>
      <x:c r="D48" s="126" t="n">
        <x:v>7.0358357175172666</x:v>
      </x:c>
      <x:c r="E48" s="126" t="n">
        <x:v>34.564164282482736</x:v>
      </x:c>
      <x:c r="F48" s="127" t="n">
        <x:v>36.2</x:v>
      </x:c>
      <x:c r="G48" s="123" t="n">
        <x:v>5.399999999999999</x:v>
      </x:c>
      <x:c r="H48" s="123" t="n">
        <x:v>1.635835717517267</x:v>
      </x:c>
      <x:c r="I48" s="122" t="n">
        <x:v>0.04732750672482816</x:v>
      </x:c>
      <x:c r="J48" s="36" t="str">
        <x:v>Leitura real — sequência serpentina</x:v>
      </x:c>
    </x:row>
    <x:row r="49">
      <x:c r="A49" s="40" t="n">
        <x:v>37</x:v>
      </x:c>
      <x:c r="B49" s="41" t="n">
        <x:v>-0.30000000000000004</x:v>
      </x:c>
      <x:c r="C49" s="41" t="n">
        <x:v>-1.5</x:v>
      </x:c>
      <x:c r="D49" s="126" t="n">
        <x:v>7.5661138232051925</x:v>
      </x:c>
      <x:c r="E49" s="126" t="n">
        <x:v>34.03388617679481</x:v>
      </x:c>
      <x:c r="F49" s="127" t="n">
        <x:v>33.6</x:v>
      </x:c>
      <x:c r="G49" s="123" t="n">
        <x:v>8</x:v>
      </x:c>
      <x:c r="H49" s="123" t="n">
        <x:v>-0.43388617679480745</x:v>
      </x:c>
      <x:c r="I49" s="122" t="n">
        <x:v>-0.012748652168045457</x:v>
      </x:c>
      <x:c r="J49" s="36" t="str">
        <x:v>Leitura real — sequência serpentina</x:v>
      </x:c>
    </x:row>
    <x:row r="50">
      <x:c r="A50" s="40" t="n">
        <x:v>38</x:v>
      </x:c>
      <x:c r="B50" s="41" t="n">
        <x:v>-0.050000000000000044</x:v>
      </x:c>
      <x:c r="C50" s="41" t="n">
        <x:v>-1.5</x:v>
      </x:c>
      <x:c r="D50" s="126" t="n">
        <x:v>8.09137830008901</x:v>
      </x:c>
      <x:c r="E50" s="126" t="n">
        <x:v>33.50862169991099</x:v>
      </x:c>
      <x:c r="F50" s="127" t="n">
        <x:v>33.1</x:v>
      </x:c>
      <x:c r="G50" s="123" t="n">
        <x:v>8.5</x:v>
      </x:c>
      <x:c r="H50" s="123" t="n">
        <x:v>-0.40862169991098796</x:v>
      </x:c>
      <x:c r="I50" s="122" t="n">
        <x:v>-0.012194524250219262</x:v>
      </x:c>
      <x:c r="J50" s="36" t="str">
        <x:v>Leitura real — sequência serpentina</x:v>
      </x:c>
    </x:row>
    <x:row r="51">
      <x:c r="A51" s="40" t="n">
        <x:v>39</x:v>
      </x:c>
      <x:c r="B51" s="41" t="n">
        <x:v>0.19999999999999996</x:v>
      </x:c>
      <x:c r="C51" s="41" t="n">
        <x:v>-1.5</x:v>
      </x:c>
      <x:c r="D51" s="126" t="n">
        <x:v>8.580052592289661</x:v>
      </x:c>
      <x:c r="E51" s="126" t="n">
        <x:v>33.01994740771034</x:v>
      </x:c>
      <x:c r="F51" s="127" t="n">
        <x:v>34.3</x:v>
      </x:c>
      <x:c r="G51" s="123" t="n">
        <x:v>7.300000000000004</x:v>
      </x:c>
      <x:c r="H51" s="123" t="n">
        <x:v>1.2800525922896568</x:v>
      </x:c>
      <x:c r="I51" s="122" t="n">
        <x:v>0.03876603970576759</x:v>
      </x:c>
      <x:c r="J51" s="36" t="str">
        <x:v>Leitura real — sequência serpentina</x:v>
      </x:c>
    </x:row>
    <x:row r="52">
      <x:c r="A52" s="40" t="n">
        <x:v>40</x:v>
      </x:c>
      <x:c r="B52" s="41" t="n">
        <x:v>0.44999999999999996</x:v>
      </x:c>
      <x:c r="C52" s="41" t="n">
        <x:v>-1.5</x:v>
      </x:c>
      <x:c r="D52" s="126" t="n">
        <x:v>8.998733262196703</x:v>
      </x:c>
      <x:c r="E52" s="126" t="n">
        <x:v>32.6012667378033</x:v>
      </x:c>
      <x:c r="F52" s="127" t="n">
        <x:v>34.4</x:v>
      </x:c>
      <x:c r="G52" s="123" t="n">
        <x:v>7.200000000000003</x:v>
      </x:c>
      <x:c r="H52" s="123" t="n">
        <x:v>1.7987332621966985</x:v>
      </x:c>
      <x:c r="I52" s="122" t="n">
        <x:v>0.05517372305386372</x:v>
      </x:c>
      <x:c r="J52" s="36" t="str">
        <x:v>Leitura real — sequência serpentina</x:v>
      </x:c>
    </x:row>
    <x:row r="53">
      <x:c r="A53" s="40" t="n">
        <x:v>41</x:v>
      </x:c>
      <x:c r="B53" s="41" t="n">
        <x:v>0.7</x:v>
      </x:c>
      <x:c r="C53" s="41" t="n">
        <x:v>-1.5</x:v>
      </x:c>
      <x:c r="D53" s="126" t="n">
        <x:v>9.318351449572585</x:v>
      </x:c>
      <x:c r="E53" s="126" t="n">
        <x:v>32.28164855042742</x:v>
      </x:c>
      <x:c r="F53" s="127" t="n">
        <x:v>33</x:v>
      </x:c>
      <x:c r="G53" s="123" t="n">
        <x:v>8.600000000000001</x:v>
      </x:c>
      <x:c r="H53" s="123" t="n">
        <x:v>0.7183514495725802</x:v>
      </x:c>
      <x:c r="I53" s="122" t="n">
        <x:v>0.022252625929262495</x:v>
      </x:c>
      <x:c r="J53" s="36" t="str">
        <x:v>Leitura real — sequência serpentina</x:v>
      </x:c>
    </x:row>
    <x:row r="54">
      <x:c r="A54" s="40" t="n">
        <x:v>42</x:v>
      </x:c>
      <x:c r="B54" s="41" t="n">
        <x:v>0.95</x:v>
      </x:c>
      <x:c r="C54" s="41" t="n">
        <x:v>-1.5</x:v>
      </x:c>
      <x:c r="D54" s="126" t="n">
        <x:v>9.518036154942646</x:v>
      </x:c>
      <x:c r="E54" s="126" t="n">
        <x:v>32.08196384505736</x:v>
      </x:c>
      <x:c r="F54" s="127" t="n">
        <x:v>31.4</x:v>
      </x:c>
      <x:c r="G54" s="123" t="n">
        <x:v>10.200000000000003</x:v>
      </x:c>
      <x:c r="H54" s="123" t="n">
        <x:v>-0.6819638450573606</x:v>
      </x:c>
      <x:c r="I54" s="122" t="n">
        <x:v>-0.02125692330902698</x:v>
      </x:c>
      <x:c r="J54" s="36" t="str">
        <x:v>Leitura real — sequência serpentina</x:v>
      </x:c>
    </x:row>
    <x:row r="55">
      <x:c r="A55" s="40" t="n">
        <x:v>43</x:v>
      </x:c>
      <x:c r="B55" s="41" t="n">
        <x:v>1.2</x:v>
      </x:c>
      <x:c r="C55" s="41" t="n">
        <x:v>-1.5</x:v>
      </x:c>
      <x:c r="D55" s="126" t="n">
        <x:v>9.585864249236044</x:v>
      </x:c>
      <x:c r="E55" s="126" t="n">
        <x:v>32.014135750763955</x:v>
      </x:c>
      <x:c r="F55" s="127" t="n">
        <x:v>31</x:v>
      </x:c>
      <x:c r="G55" s="123" t="n">
        <x:v>10.600000000000001</x:v>
      </x:c>
      <x:c r="H55" s="123" t="n">
        <x:v>-1.0141357507639555</x:v>
      </x:c>
      <x:c r="I55" s="122" t="n">
        <x:v>-0.03167774881256181</x:v>
      </x:c>
      <x:c r="J55" s="36" t="str">
        <x:v>Leitura real — sequência serpentina</x:v>
      </x:c>
    </x:row>
    <x:row r="56">
      <x:c r="A56" s="40" t="n">
        <x:v>44</x:v>
      </x:c>
      <x:c r="B56" s="41" t="n">
        <x:v>1.45</x:v>
      </x:c>
      <x:c r="C56" s="41" t="n">
        <x:v>-1.5</x:v>
      </x:c>
      <x:c r="D56" s="126" t="n">
        <x:v>9.518036154942646</x:v>
      </x:c>
      <x:c r="E56" s="126" t="n">
        <x:v>32.08196384505736</x:v>
      </x:c>
      <x:c r="F56" s="127" t="n">
        <x:v>34.8</x:v>
      </x:c>
      <x:c r="G56" s="123" t="n">
        <x:v>6.800000000000004</x:v>
      </x:c>
      <x:c r="H56" s="123" t="n">
        <x:v>2.718036154942638</x:v>
      </x:c>
      <x:c r="I56" s="122" t="n">
        <x:v>0.08472162639636496</x:v>
      </x:c>
      <x:c r="J56" s="36" t="str">
        <x:v>Leitura real — sequência serpentina</x:v>
      </x:c>
    </x:row>
    <x:row r="57">
      <x:c r="A57" s="40" t="n">
        <x:v>45</x:v>
      </x:c>
      <x:c r="B57" s="41" t="n">
        <x:v>1.7</x:v>
      </x:c>
      <x:c r="C57" s="41" t="n">
        <x:v>-1.5</x:v>
      </x:c>
      <x:c r="D57" s="126" t="n">
        <x:v>9.318351449572585</x:v>
      </x:c>
      <x:c r="E57" s="126" t="n">
        <x:v>32.28164855042742</x:v>
      </x:c>
      <x:c r="F57" s="127" t="n">
        <x:v>33.5</x:v>
      </x:c>
      <x:c r="G57" s="123" t="n">
        <x:v>8.100000000000001</x:v>
      </x:c>
      <x:c r="H57" s="123" t="n">
        <x:v>1.2183514495725802</x:v>
      </x:c>
      <x:c r="I57" s="122" t="n">
        <x:v>0.037741302079705864</x:v>
      </x:c>
      <x:c r="J57" s="36" t="str">
        <x:v>Leitura real — sequência serpentina</x:v>
      </x:c>
    </x:row>
    <x:row r="58">
      <x:c r="A58" s="40" t="n">
        <x:v>46</x:v>
      </x:c>
      <x:c r="B58" s="41" t="n">
        <x:v>1.95</x:v>
      </x:c>
      <x:c r="C58" s="41" t="n">
        <x:v>-1.5</x:v>
      </x:c>
      <x:c r="D58" s="126" t="n">
        <x:v>8.998733262196703</x:v>
      </x:c>
      <x:c r="E58" s="126" t="n">
        <x:v>32.6012667378033</x:v>
      </x:c>
      <x:c r="F58" s="127" t="n">
        <x:v>34.1</x:v>
      </x:c>
      <x:c r="G58" s="123" t="n">
        <x:v>7.5</x:v>
      </x:c>
      <x:c r="H58" s="123" t="n">
        <x:v>1.4987332621967013</x:v>
      </x:c>
      <x:c r="I58" s="122" t="n">
        <x:v>0.04597162663188244</x:v>
      </x:c>
      <x:c r="J58" s="36" t="str">
        <x:v>Leitura real — sequência serpentina</x:v>
      </x:c>
    </x:row>
    <x:row r="59">
      <x:c r="A59" s="40" t="n">
        <x:v>47</x:v>
      </x:c>
      <x:c r="B59" s="41" t="n">
        <x:v>2.2</x:v>
      </x:c>
      <x:c r="C59" s="41" t="n">
        <x:v>-1.5</x:v>
      </x:c>
      <x:c r="D59" s="126" t="n">
        <x:v>8.580052592289661</x:v>
      </x:c>
      <x:c r="E59" s="126" t="n">
        <x:v>33.01994740771034</x:v>
      </x:c>
      <x:c r="F59" s="127" t="n">
        <x:v>37</x:v>
      </x:c>
      <x:c r="G59" s="123" t="n">
        <x:v>4.600000000000001</x:v>
      </x:c>
      <x:c r="H59" s="123" t="n">
        <x:v>3.9800525922896597</x:v>
      </x:c>
      <x:c r="I59" s="122" t="n">
        <x:v>0.1205347950178835</x:v>
      </x:c>
      <x:c r="J59" s="36" t="str">
        <x:v>Leitura real — sequência serpentina</x:v>
      </x:c>
    </x:row>
    <x:row r="60">
      <x:c r="A60" s="40" t="n">
        <x:v>48</x:v>
      </x:c>
      <x:c r="B60" s="41" t="n">
        <x:v>2.45</x:v>
      </x:c>
      <x:c r="C60" s="41" t="n">
        <x:v>-1.5</x:v>
      </x:c>
      <x:c r="D60" s="126" t="n">
        <x:v>8.09137830008901</x:v>
      </x:c>
      <x:c r="E60" s="126" t="n">
        <x:v>33.50862169991099</x:v>
      </x:c>
      <x:c r="F60" s="127" t="n">
        <x:v>32.3</x:v>
      </x:c>
      <x:c r="G60" s="123" t="n">
        <x:v>9.300000000000004</x:v>
      </x:c>
      <x:c r="H60" s="123" t="n">
        <x:v>-1.2086216999109922</x:v>
      </x:c>
      <x:c r="I60" s="122" t="n">
        <x:v>-0.03606897683631681</x:v>
      </x:c>
      <x:c r="J60" s="36" t="str">
        <x:v>Leitura real — sequência serpentina</x:v>
      </x:c>
    </x:row>
    <x:row r="61">
      <x:c r="A61" s="40" t="n">
        <x:v>49</x:v>
      </x:c>
      <x:c r="B61" s="41" t="n">
        <x:v>2.7</x:v>
      </x:c>
      <x:c r="C61" s="41" t="n">
        <x:v>-1.5</x:v>
      </x:c>
      <x:c r="D61" s="126" t="n">
        <x:v>7.566113823205192</x:v>
      </x:c>
      <x:c r="E61" s="126" t="n">
        <x:v>34.03388617679481</x:v>
      </x:c>
      <x:c r="F61" s="127" t="n">
        <x:v>38.7</x:v>
      </x:c>
      <x:c r="G61" s="123" t="n">
        <x:v>2.8999999999999986</x:v>
      </x:c>
      <x:c r="H61" s="123" t="n">
        <x:v>4.666113823205194</x:v>
      </x:c>
      <x:c r="I61" s="122" t="n">
        <x:v>0.13710199884216195</x:v>
      </x:c>
      <x:c r="J61" s="36" t="str">
        <x:v>Leitura real — sequência serpentina</x:v>
      </x:c>
    </x:row>
    <x:row r="62">
      <x:c r="A62" s="40" t="n">
        <x:v>50</x:v>
      </x:c>
      <x:c r="B62" s="41" t="n">
        <x:v>2.95</x:v>
      </x:c>
      <x:c r="C62" s="41" t="n">
        <x:v>-1.5</x:v>
      </x:c>
      <x:c r="D62" s="126" t="n">
        <x:v>7.035835717517265</x:v>
      </x:c>
      <x:c r="E62" s="126" t="n">
        <x:v>34.564164282482736</x:v>
      </x:c>
      <x:c r="F62" s="127" t="n">
        <x:v>39.5</x:v>
      </x:c>
      <x:c r="G62" s="123" t="n">
        <x:v>2.1000000000000014</x:v>
      </x:c>
      <x:c r="H62" s="123" t="n">
        <x:v>4.935835717517264</x:v>
      </x:c>
      <x:c r="I62" s="122" t="n">
        <x:v>0.14280211369145607</x:v>
      </x:c>
      <x:c r="J62" s="36" t="str">
        <x:v>Leitura real — sequência serpentina</x:v>
      </x:c>
    </x:row>
    <x:row r="63">
      <x:c r="A63" s="40" t="n">
        <x:v>51</x:v>
      </x:c>
      <x:c r="B63" s="41" t="n">
        <x:v>3.2</x:v>
      </x:c>
      <x:c r="C63" s="41" t="n">
        <x:v>-1.5</x:v>
      </x:c>
      <x:c r="D63" s="126" t="n">
        <x:v>6.524938525054826</x:v>
      </x:c>
      <x:c r="E63" s="126" t="n">
        <x:v>35.07506147494517</x:v>
      </x:c>
      <x:c r="F63" s="127" t="n">
        <x:v>38.2</x:v>
      </x:c>
      <x:c r="G63" s="123" t="n">
        <x:v>3.3999999999999986</x:v>
      </x:c>
      <x:c r="H63" s="123" t="n">
        <x:v>3.12493852505483</x:v>
      </x:c>
      <x:c r="I63" s="122" t="n">
        <x:v>0.08909288804203627</x:v>
      </x:c>
      <x:c r="J63" s="36" t="str">
        <x:v>Leitura real — sequência serpentina</x:v>
      </x:c>
    </x:row>
    <x:row r="64">
      <x:c r="A64" s="40" t="n">
        <x:v>52</x:v>
      </x:c>
      <x:c r="B64" s="41" t="n">
        <x:v>-0.8</x:v>
      </x:c>
      <x:c r="C64" s="41" t="n">
        <x:v>-1.25</x:v>
      </x:c>
      <x:c r="D64" s="126" t="n">
        <x:v>7.012449725558648</x:v>
      </x:c>
      <x:c r="E64" s="126" t="n">
        <x:v>34.587550274441355</x:v>
      </x:c>
      <x:c r="F64" s="127" t="n">
        <x:v>35</x:v>
      </x:c>
      <x:c r="G64" s="123" t="n">
        <x:v>6.600000000000001</x:v>
      </x:c>
      <x:c r="H64" s="123" t="n">
        <x:v>0.4124497255586448</x:v>
      </x:c>
      <x:c r="I64" s="122" t="n">
        <x:v>0.011924803066016116</x:v>
      </x:c>
      <x:c r="J64" s="36" t="str">
        <x:v>Leitura real — sequência serpentina</x:v>
      </x:c>
    </x:row>
    <x:row r="65">
      <x:c r="A65" s="40" t="n">
        <x:v>53</x:v>
      </x:c>
      <x:c r="B65" s="41" t="n">
        <x:v>-0.55</x:v>
      </x:c>
      <x:c r="C65" s="41" t="n">
        <x:v>-1.25</x:v>
      </x:c>
      <x:c r="D65" s="126" t="n">
        <x:v>7.660448173045555</x:v>
      </x:c>
      <x:c r="E65" s="126" t="n">
        <x:v>33.93955182695444</x:v>
      </x:c>
      <x:c r="F65" s="127" t="n">
        <x:v>32.8</x:v>
      </x:c>
      <x:c r="G65" s="123" t="n">
        <x:v>8.800000000000004</x:v>
      </x:c>
      <x:c r="H65" s="123" t="n">
        <x:v>-1.1395518269544453</x:v>
      </x:c>
      <x:c r="I65" s="122" t="n">
        <x:v>-0.03357592441893782</x:v>
      </x:c>
      <x:c r="J65" s="36" t="str">
        <x:v>Leitura real — sequência serpentina</x:v>
      </x:c>
    </x:row>
    <x:row r="66">
      <x:c r="A66" s="40" t="n">
        <x:v>54</x:v>
      </x:c>
      <x:c r="B66" s="41" t="n">
        <x:v>-0.30000000000000004</x:v>
      </x:c>
      <x:c r="C66" s="41" t="n">
        <x:v>-1.25</x:v>
      </x:c>
      <x:c r="D66" s="126" t="n">
        <x:v>8.35460295831064</x:v>
      </x:c>
      <x:c r="E66" s="126" t="n">
        <x:v>33.24539704168936</x:v>
      </x:c>
      <x:c r="F66" s="127" t="n">
        <x:v>35.4</x:v>
      </x:c>
      <x:c r="G66" s="123" t="n">
        <x:v>6.200000000000003</x:v>
      </x:c>
      <x:c r="H66" s="123" t="n">
        <x:v>2.1546029583106403</x:v>
      </x:c>
      <x:c r="I66" s="122" t="n">
        <x:v>0.06480906080347881</x:v>
      </x:c>
      <x:c r="J66" s="36" t="str">
        <x:v>Leitura real — sequência serpentina</x:v>
      </x:c>
    </x:row>
    <x:row r="67">
      <x:c r="A67" s="40" t="n">
        <x:v>55</x:v>
      </x:c>
      <x:c r="B67" s="41" t="n">
        <x:v>-0.050000000000000044</x:v>
      </x:c>
      <x:c r="C67" s="41" t="n">
        <x:v>-1.25</x:v>
      </x:c>
      <x:c r="D67" s="126" t="n">
        <x:v>9.06024613715889</x:v>
      </x:c>
      <x:c r="E67" s="126" t="n">
        <x:v>32.53975386284111</x:v>
      </x:c>
      <x:c r="F67" s="127" t="n">
        <x:v>31</x:v>
      </x:c>
      <x:c r="G67" s="123" t="n">
        <x:v>10.600000000000001</x:v>
      </x:c>
      <x:c r="H67" s="123" t="n">
        <x:v>-1.5397538628411098</x:v>
      </x:c>
      <x:c r="I67" s="122" t="n">
        <x:v>-0.047319161335127286</x:v>
      </x:c>
      <x:c r="J67" s="36" t="str">
        <x:v>Leitura real — sequência serpentina</x:v>
      </x:c>
    </x:row>
    <x:row r="68">
      <x:c r="A68" s="40" t="n">
        <x:v>56</x:v>
      </x:c>
      <x:c r="B68" s="41" t="n">
        <x:v>0.19999999999999996</x:v>
      </x:c>
      <x:c r="C68" s="41" t="n">
        <x:v>-1.25</x:v>
      </x:c>
      <x:c r="D68" s="126" t="n">
        <x:v>9.72730517850367</x:v>
      </x:c>
      <x:c r="E68" s="126" t="n">
        <x:v>31.87269482149633</x:v>
      </x:c>
      <x:c r="F68" s="127" t="n">
        <x:v>29.5</x:v>
      </x:c>
      <x:c r="G68" s="123" t="n">
        <x:v>12.100000000000001</x:v>
      </x:c>
      <x:c r="H68" s="123" t="n">
        <x:v>-2.3726948214963315</x:v>
      </x:c>
      <x:c r="I68" s="122" t="n">
        <x:v>-0.07444286825399159</x:v>
      </x:c>
      <x:c r="J68" s="36" t="str">
        <x:v>Leitura real — sequência serpentina</x:v>
      </x:c>
    </x:row>
    <x:row r="69">
      <x:c r="A69" s="40" t="n">
        <x:v>57</x:v>
      </x:c>
      <x:c r="B69" s="41" t="n">
        <x:v>0.44999999999999996</x:v>
      </x:c>
      <x:c r="C69" s="41" t="n">
        <x:v>-1.25</x:v>
      </x:c>
      <x:c r="D69" s="126" t="n">
        <x:v>10.301703424990466</x:v>
      </x:c>
      <x:c r="E69" s="126" t="n">
        <x:v>31.298296575009537</x:v>
      </x:c>
      <x:c r="F69" s="127" t="n">
        <x:v>29.7</x:v>
      </x:c>
      <x:c r="G69" s="123" t="n">
        <x:v>11.900000000000002</x:v>
      </x:c>
      <x:c r="H69" s="123" t="n">
        <x:v>-1.5982965750095381</x:v>
      </x:c>
      <x:c r="I69" s="122" t="n">
        <x:v>-0.051066567510441294</x:v>
      </x:c>
      <x:c r="J69" s="36" t="str">
        <x:v>Leitura real — sequência serpentina</x:v>
      </x:c>
    </x:row>
    <x:row r="70">
      <x:c r="A70" s="40" t="n">
        <x:v>58</x:v>
      </x:c>
      <x:c r="B70" s="41" t="n">
        <x:v>0.7</x:v>
      </x:c>
      <x:c r="C70" s="41" t="n">
        <x:v>-1.25</x:v>
      </x:c>
      <x:c r="D70" s="126" t="n">
        <x:v>10.738952359298466</x:v>
      </x:c>
      <x:c r="E70" s="126" t="n">
        <x:v>30.861047640701535</x:v>
      </x:c>
      <x:c r="F70" s="127" t="n">
        <x:v>29.3</x:v>
      </x:c>
      <x:c r="G70" s="123" t="n">
        <x:v>12.3</x:v>
      </x:c>
      <x:c r="H70" s="123" t="n">
        <x:v>-1.5610476407015348</x:v>
      </x:c>
      <x:c r="I70" s="122" t="n">
        <x:v>-0.05058310589050531</x:v>
      </x:c>
      <x:c r="J70" s="36" t="str">
        <x:v>Leitura real — sequência serpentina</x:v>
      </x:c>
    </x:row>
    <x:row r="71">
      <x:c r="A71" s="40" t="n">
        <x:v>59</x:v>
      </x:c>
      <x:c r="B71" s="41" t="n">
        <x:v>0.95</x:v>
      </x:c>
      <x:c r="C71" s="41" t="n">
        <x:v>-1.25</x:v>
      </x:c>
      <x:c r="D71" s="126" t="n">
        <x:v>11.010596275392377</x:v>
      </x:c>
      <x:c r="E71" s="126" t="n">
        <x:v>30.589403724607624</x:v>
      </x:c>
      <x:c r="F71" s="127" t="n">
        <x:v>29</x:v>
      </x:c>
      <x:c r="G71" s="123" t="n">
        <x:v>12.600000000000001</x:v>
      </x:c>
      <x:c r="H71" s="123" t="n">
        <x:v>-1.5894037246076245</x:v>
      </x:c>
      <x:c r="I71" s="122" t="n">
        <x:v>-0.0519592908353761</x:v>
      </x:c>
      <x:c r="J71" s="36" t="str">
        <x:v>Leitura real — sequência serpentina</x:v>
      </x:c>
    </x:row>
    <x:row r="72">
      <x:c r="A72" s="40" t="n">
        <x:v>60</x:v>
      </x:c>
      <x:c r="B72" s="41" t="n">
        <x:v>1.2</x:v>
      </x:c>
      <x:c r="C72" s="41" t="n">
        <x:v>-1.25</x:v>
      </x:c>
      <x:c r="D72" s="126" t="n">
        <x:v>11.10249978838372</x:v>
      </x:c>
      <x:c r="E72" s="126" t="n">
        <x:v>30.49750021161628</x:v>
      </x:c>
      <x:c r="F72" s="127" t="n">
        <x:v>29.6</x:v>
      </x:c>
      <x:c r="G72" s="123" t="n">
        <x:v>12</x:v>
      </x:c>
      <x:c r="H72" s="123" t="n">
        <x:v>-0.8975002116162791</x:v>
      </x:c>
      <x:c r="I72" s="122" t="n">
        <x:v>-0.02942864842654965</x:v>
      </x:c>
      <x:c r="J72" s="36" t="str">
        <x:v>Leitura real — sequência serpentina</x:v>
      </x:c>
    </x:row>
    <x:row r="73">
      <x:c r="A73" s="40" t="n">
        <x:v>61</x:v>
      </x:c>
      <x:c r="B73" s="41" t="n">
        <x:v>1.45</x:v>
      </x:c>
      <x:c r="C73" s="41" t="n">
        <x:v>-1.25</x:v>
      </x:c>
      <x:c r="D73" s="126" t="n">
        <x:v>11.010596275392377</x:v>
      </x:c>
      <x:c r="E73" s="126" t="n">
        <x:v>30.589403724607624</x:v>
      </x:c>
      <x:c r="F73" s="127" t="n">
        <x:v>32.6</x:v>
      </x:c>
      <x:c r="G73" s="123" t="n">
        <x:v>9</x:v>
      </x:c>
      <x:c r="H73" s="123" t="n">
        <x:v>2.010596275392377</x:v>
      </x:c>
      <x:c r="I73" s="122" t="n">
        <x:v>0.06572852133678415</x:v>
      </x:c>
      <x:c r="J73" s="36" t="str">
        <x:v>Leitura real — sequência serpentina</x:v>
      </x:c>
    </x:row>
    <x:row r="74">
      <x:c r="A74" s="40" t="n">
        <x:v>62</x:v>
      </x:c>
      <x:c r="B74" s="41" t="n">
        <x:v>1.7</x:v>
      </x:c>
      <x:c r="C74" s="41" t="n">
        <x:v>-1.25</x:v>
      </x:c>
      <x:c r="D74" s="126" t="n">
        <x:v>10.738952359298466</x:v>
      </x:c>
      <x:c r="E74" s="126" t="n">
        <x:v>30.861047640701535</x:v>
      </x:c>
      <x:c r="F74" s="127" t="n">
        <x:v>31.3</x:v>
      </x:c>
      <x:c r="G74" s="123" t="n">
        <x:v>10.3</x:v>
      </x:c>
      <x:c r="H74" s="123" t="n">
        <x:v>0.4389523592984652</x:v>
      </x:c>
      <x:c r="I74" s="122" t="n">
        <x:v>0.014223508041883406</x:v>
      </x:c>
      <x:c r="J74" s="36" t="str">
        <x:v>Leitura real — sequência serpentina</x:v>
      </x:c>
    </x:row>
    <x:row r="75">
      <x:c r="A75" s="40" t="n">
        <x:v>63</x:v>
      </x:c>
      <x:c r="B75" s="41" t="n">
        <x:v>1.95</x:v>
      </x:c>
      <x:c r="C75" s="41" t="n">
        <x:v>-1.25</x:v>
      </x:c>
      <x:c r="D75" s="126" t="n">
        <x:v>10.301703424990466</x:v>
      </x:c>
      <x:c r="E75" s="126" t="n">
        <x:v>31.298296575009537</x:v>
      </x:c>
      <x:c r="F75" s="127" t="n">
        <x:v>30.9</x:v>
      </x:c>
      <x:c r="G75" s="123" t="n">
        <x:v>10.700000000000003</x:v>
      </x:c>
      <x:c r="H75" s="123" t="n">
        <x:v>-0.39829657500953886</x:v>
      </x:c>
      <x:c r="I75" s="122" t="n">
        <x:v>-0.01272582276338844</x:v>
      </x:c>
      <x:c r="J75" s="36" t="str">
        <x:v>Leitura real — sequência serpentina</x:v>
      </x:c>
    </x:row>
    <x:row r="76">
      <x:c r="A76" s="40" t="n">
        <x:v>64</x:v>
      </x:c>
      <x:c r="B76" s="41" t="n">
        <x:v>2.2</x:v>
      </x:c>
      <x:c r="C76" s="41" t="n">
        <x:v>-1.25</x:v>
      </x:c>
      <x:c r="D76" s="126" t="n">
        <x:v>9.727305178503668</x:v>
      </x:c>
      <x:c r="E76" s="126" t="n">
        <x:v>31.87269482149633</x:v>
      </x:c>
      <x:c r="F76" s="127" t="n">
        <x:v>31.9</x:v>
      </x:c>
      <x:c r="G76" s="123" t="n">
        <x:v>9.700000000000003</x:v>
      </x:c>
      <x:c r="H76" s="123" t="n">
        <x:v>0.027305178503667094</x:v>
      </x:c>
      <x:c r="I76" s="122" t="n">
        <x:v>0.0008566950067005723</x:v>
      </x:c>
      <x:c r="J76" s="36" t="str">
        <x:v>Leitura real — sequência serpentina</x:v>
      </x:c>
    </x:row>
    <x:row r="77">
      <x:c r="A77" s="40" t="n">
        <x:v>65</x:v>
      </x:c>
      <x:c r="B77" s="41" t="n">
        <x:v>2.45</x:v>
      </x:c>
      <x:c r="C77" s="41" t="n">
        <x:v>-1.25</x:v>
      </x:c>
      <x:c r="D77" s="126" t="n">
        <x:v>9.060246137158888</x:v>
      </x:c>
      <x:c r="E77" s="126" t="n">
        <x:v>32.53975386284111</x:v>
      </x:c>
      <x:c r="F77" s="127" t="n">
        <x:v>31.9</x:v>
      </x:c>
      <x:c r="G77" s="123" t="n">
        <x:v>9.700000000000003</x:v>
      </x:c>
      <x:c r="H77" s="123" t="n">
        <x:v>-0.6397538628411112</x:v>
      </x:c>
      <x:c r="I77" s="122" t="n">
        <x:v>-0.01966068537388909</x:v>
      </x:c>
      <x:c r="J77" s="36" t="str">
        <x:v>Leitura real — sequência serpentina</x:v>
      </x:c>
    </x:row>
    <x:row r="78">
      <x:c r="A78" s="40" t="n">
        <x:v>66</x:v>
      </x:c>
      <x:c r="B78" s="41" t="n">
        <x:v>2.7</x:v>
      </x:c>
      <x:c r="C78" s="41" t="n">
        <x:v>-1.25</x:v>
      </x:c>
      <x:c r="D78" s="126" t="n">
        <x:v>8.35460295831064</x:v>
      </x:c>
      <x:c r="E78" s="126" t="n">
        <x:v>33.24539704168936</x:v>
      </x:c>
      <x:c r="F78" s="127" t="n">
        <x:v>35</x:v>
      </x:c>
      <x:c r="G78" s="123" t="n">
        <x:v>6.600000000000001</x:v>
      </x:c>
      <x:c r="H78" s="123" t="n">
        <x:v>1.7546029583106417</x:v>
      </x:c>
      <x:c r="I78" s="122" t="n">
        <x:v>0.05277732000343955</x:v>
      </x:c>
      <x:c r="J78" s="36" t="str">
        <x:v>Leitura real — sequência serpentina</x:v>
      </x:c>
    </x:row>
    <x:row r="79">
      <x:c r="A79" s="40" t="n">
        <x:v>67</x:v>
      </x:c>
      <x:c r="B79" s="41" t="n">
        <x:v>2.95</x:v>
      </x:c>
      <x:c r="C79" s="41" t="n">
        <x:v>-1.25</x:v>
      </x:c>
      <x:c r="D79" s="126" t="n">
        <x:v>7.660448173045555</x:v>
      </x:c>
      <x:c r="E79" s="126" t="n">
        <x:v>33.93955182695444</x:v>
      </x:c>
      <x:c r="F79" s="127" t="n">
        <x:v>32.9</x:v>
      </x:c>
      <x:c r="G79" s="123" t="n">
        <x:v>8.700000000000003</x:v>
      </x:c>
      <x:c r="H79" s="123" t="n">
        <x:v>-1.039551826954444</x:v>
      </x:c>
      <x:c r="I79" s="122" t="n">
        <x:v>-0.03062950955436137</x:v>
      </x:c>
      <x:c r="J79" s="36" t="str">
        <x:v>Leitura real — sequência serpentina</x:v>
      </x:c>
    </x:row>
    <x:row r="80">
      <x:c r="A80" s="40" t="n">
        <x:v>68</x:v>
      </x:c>
      <x:c r="B80" s="41" t="n">
        <x:v>3.2</x:v>
      </x:c>
      <x:c r="C80" s="41" t="n">
        <x:v>-1.25</x:v>
      </x:c>
      <x:c r="D80" s="126" t="n">
        <x:v>7.012449725558648</x:v>
      </x:c>
      <x:c r="E80" s="126" t="n">
        <x:v>34.587550274441355</x:v>
      </x:c>
      <x:c r="F80" s="127" t="n">
        <x:v>36.2</x:v>
      </x:c>
      <x:c r="G80" s="123" t="n">
        <x:v>5.399999999999999</x:v>
      </x:c>
      <x:c r="H80" s="123" t="n">
        <x:v>1.6124497255586476</x:v>
      </x:c>
      <x:c r="I80" s="122" t="n">
        <x:v>0.046619367742565324</x:v>
      </x:c>
      <x:c r="J80" s="36" t="str">
        <x:v>Leitura real — sequência serpentina</x:v>
      </x:c>
    </x:row>
    <x:row r="81">
      <x:c r="A81" s="40" t="n">
        <x:v>69</x:v>
      </x:c>
      <x:c r="B81" s="41" t="n">
        <x:v>-0.8</x:v>
      </x:c>
      <x:c r="C81" s="41" t="n">
        <x:v>-1</x:v>
      </x:c>
      <x:c r="D81" s="126" t="n">
        <x:v>7.529421929159231</x:v>
      </x:c>
      <x:c r="E81" s="126" t="n">
        <x:v>34.07057807084077</x:v>
      </x:c>
      <x:c r="F81" s="127" t="n">
        <x:v>31.9</x:v>
      </x:c>
      <x:c r="G81" s="123" t="n">
        <x:v>9.700000000000003</x:v>
      </x:c>
      <x:c r="H81" s="123" t="n">
        <x:v>-2.1705780708407687</x:v>
      </x:c>
      <x:c r="I81" s="122" t="n">
        <x:v>-0.06370828420720144</x:v>
      </x:c>
      <x:c r="J81" s="36" t="str">
        <x:v>Leitura real — sequência serpentina</x:v>
      </x:c>
    </x:row>
    <x:row r="82">
      <x:c r="A82" s="40" t="n">
        <x:v>70</x:v>
      </x:c>
      <x:c r="B82" s="41" t="n">
        <x:v>-0.55</x:v>
      </x:c>
      <x:c r="C82" s="41" t="n">
        <x:v>-1</x:v>
      </x:c>
      <x:c r="D82" s="126" t="n">
        <x:v>8.358971955451157</x:v>
      </x:c>
      <x:c r="E82" s="126" t="n">
        <x:v>33.24102804454884</x:v>
      </x:c>
      <x:c r="F82" s="127" t="n">
        <x:v>33.4</x:v>
      </x:c>
      <x:c r="G82" s="123" t="n">
        <x:v>8.200000000000003</x:v>
      </x:c>
      <x:c r="H82" s="123" t="n">
        <x:v>0.1589719554511575</x:v>
      </x:c>
      <x:c r="I82" s="122" t="n">
        <x:v>0.004782401893169701</x:v>
      </x:c>
      <x:c r="J82" s="36" t="str">
        <x:v>Leitura real — sequência serpentina</x:v>
      </x:c>
    </x:row>
    <x:row r="83">
      <x:c r="A83" s="40" t="n">
        <x:v>71</x:v>
      </x:c>
      <x:c r="B83" s="41" t="n">
        <x:v>-0.30000000000000004</x:v>
      </x:c>
      <x:c r="C83" s="41" t="n">
        <x:v>-1</x:v>
      </x:c>
      <x:c r="D83" s="126" t="n">
        <x:v>9.286728320755502</x:v>
      </x:c>
      <x:c r="E83" s="126" t="n">
        <x:v>32.3132716792445</x:v>
      </x:c>
      <x:c r="F83" s="127" t="n">
        <x:v>29.3</x:v>
      </x:c>
      <x:c r="G83" s="123" t="n">
        <x:v>12.3</x:v>
      </x:c>
      <x:c r="H83" s="123" t="n">
        <x:v>-3.0132716792445002</x:v>
      </x:c>
      <x:c r="I83" s="122" t="n">
        <x:v>-0.09325182881992071</x:v>
      </x:c>
      <x:c r="J83" s="36" t="str">
        <x:v>Leitura real — sequência serpentina</x:v>
      </x:c>
    </x:row>
    <x:row r="84">
      <x:c r="A84" s="40" t="n">
        <x:v>72</x:v>
      </x:c>
      <x:c r="B84" s="41" t="n">
        <x:v>-0.050000000000000044</x:v>
      </x:c>
      <x:c r="C84" s="41" t="n">
        <x:v>-1</x:v>
      </x:c>
      <x:c r="D84" s="126" t="n">
        <x:v>10.263880320536892</x:v>
      </x:c>
      <x:c r="E84" s="126" t="n">
        <x:v>31.33611967946311</x:v>
      </x:c>
      <x:c r="F84" s="127" t="n">
        <x:v>30.1</x:v>
      </x:c>
      <x:c r="G84" s="123" t="n">
        <x:v>11.5</x:v>
      </x:c>
      <x:c r="H84" s="123" t="n">
        <x:v>-1.2361196794631084</x:v>
      </x:c>
      <x:c r="I84" s="122" t="n">
        <x:v>-0.03944712019571554</x:v>
      </x:c>
      <x:c r="J84" s="36" t="str">
        <x:v>Leitura real — sequência serpentina</x:v>
      </x:c>
    </x:row>
    <x:row r="85">
      <x:c r="A85" s="40" t="n">
        <x:v>73</x:v>
      </x:c>
      <x:c r="B85" s="41" t="n">
        <x:v>0.19999999999999996</x:v>
      </x:c>
      <x:c r="C85" s="41" t="n">
        <x:v>-1</x:v>
      </x:c>
      <x:c r="D85" s="126" t="n">
        <x:v>11.204742181349255</x:v>
      </x:c>
      <x:c r="E85" s="126" t="n">
        <x:v>30.395257818650748</x:v>
      </x:c>
      <x:c r="F85" s="127" t="n">
        <x:v>33.8</x:v>
      </x:c>
      <x:c r="G85" s="123" t="n">
        <x:v>7.800000000000004</x:v>
      </x:c>
      <x:c r="H85" s="123" t="n">
        <x:v>3.404742181349249</x:v>
      </x:c>
      <x:c r="I85" s="122" t="n">
        <x:v>0.1120155716942159</x:v>
      </x:c>
      <x:c r="J85" s="36" t="str">
        <x:v>Leitura real — sequência serpentina</x:v>
      </x:c>
    </x:row>
    <x:row r="86">
      <x:c r="A86" s="40" t="n">
        <x:v>74</x:v>
      </x:c>
      <x:c r="B86" s="41" t="n">
        <x:v>0.44999999999999996</x:v>
      </x:c>
      <x:c r="C86" s="41" t="n">
        <x:v>-1</x:v>
      </x:c>
      <x:c r="D86" s="126" t="n">
        <x:v>12.014082071123966</x:v>
      </x:c>
      <x:c r="E86" s="126" t="n">
        <x:v>29.585917928876036</x:v>
      </x:c>
      <x:c r="F86" s="127" t="n">
        <x:v>28.6</x:v>
      </x:c>
      <x:c r="G86" s="123" t="n">
        <x:v>13</x:v>
      </x:c>
      <x:c r="H86" s="123" t="n">
        <x:v>-0.9859179288760345</x:v>
      </x:c>
      <x:c r="I86" s="122" t="n">
        <x:v>-0.0333238918341544</x:v>
      </x:c>
      <x:c r="J86" s="36" t="str">
        <x:v>Leitura real — sequência serpentina</x:v>
      </x:c>
    </x:row>
    <x:row r="87">
      <x:c r="A87" s="40" t="n">
        <x:v>75</x:v>
      </x:c>
      <x:c r="B87" s="41" t="n">
        <x:v>0.7</x:v>
      </x:c>
      <x:c r="C87" s="41" t="n">
        <x:v>-1</x:v>
      </x:c>
      <x:c r="D87" s="126" t="n">
        <x:v>12.622069333318302</x:v>
      </x:c>
      <x:c r="E87" s="126" t="n">
        <x:v>28.9779306666817</x:v>
      </x:c>
      <x:c r="F87" s="127" t="n">
        <x:v>30.5</x:v>
      </x:c>
      <x:c r="G87" s="123" t="n">
        <x:v>11.100000000000001</x:v>
      </x:c>
      <x:c r="H87" s="123" t="n">
        <x:v>1.5220693333182993</x:v>
      </x:c>
      <x:c r="I87" s="122" t="n">
        <x:v>0.05252512164605139</x:v>
      </x:c>
      <x:c r="J87" s="36" t="str">
        <x:v>Leitura real — sequência serpentina</x:v>
      </x:c>
    </x:row>
    <x:row r="88">
      <x:c r="A88" s="40" t="n">
        <x:v>76</x:v>
      </x:c>
      <x:c r="B88" s="41" t="n">
        <x:v>0.95</x:v>
      </x:c>
      <x:c r="C88" s="41" t="n">
        <x:v>-1</x:v>
      </x:c>
      <x:c r="D88" s="126" t="n">
        <x:v>12.994162644827002</x:v>
      </x:c>
      <x:c r="E88" s="126" t="n">
        <x:v>28.605837355173</x:v>
      </x:c>
      <x:c r="F88" s="127" t="n">
        <x:v>29.2</x:v>
      </x:c>
      <x:c r="G88" s="123" t="n">
        <x:v>12.400000000000002</x:v>
      </x:c>
      <x:c r="H88" s="123" t="n">
        <x:v>0.5941626448269979</x:v>
      </x:c>
      <x:c r="I88" s="122" t="n">
        <x:v>0.020770678286736156</x:v>
      </x:c>
      <x:c r="J88" s="36" t="str">
        <x:v>Leitura real — sequência serpentina</x:v>
      </x:c>
    </x:row>
    <x:row r="89">
      <x:c r="A89" s="40" t="n">
        <x:v>77</x:v>
      </x:c>
      <x:c r="B89" s="41" t="n">
        <x:v>1.2</x:v>
      </x:c>
      <x:c r="C89" s="41" t="n">
        <x:v>-1</x:v>
      </x:c>
      <x:c r="D89" s="126" t="n">
        <x:v>13.118899133103625</x:v>
      </x:c>
      <x:c r="E89" s="126" t="n">
        <x:v>28.481100866896377</x:v>
      </x:c>
      <x:c r="F89" s="127" t="n">
        <x:v>28.2</x:v>
      </x:c>
      <x:c r="G89" s="123" t="n">
        <x:v>13.400000000000002</x:v>
      </x:c>
      <x:c r="H89" s="123" t="n">
        <x:v>-0.28110086689637725</x:v>
      </x:c>
      <x:c r="I89" s="122" t="n">
        <x:v>-0.009869733203434605</x:v>
      </x:c>
      <x:c r="J89" s="36" t="str">
        <x:v>Leitura real — sequência serpentina</x:v>
      </x:c>
    </x:row>
    <x:row r="90">
      <x:c r="A90" s="40" t="n">
        <x:v>78</x:v>
      </x:c>
      <x:c r="B90" s="41" t="n">
        <x:v>1.45</x:v>
      </x:c>
      <x:c r="C90" s="41" t="n">
        <x:v>-1</x:v>
      </x:c>
      <x:c r="D90" s="126" t="n">
        <x:v>12.994162644827002</x:v>
      </x:c>
      <x:c r="E90" s="126" t="n">
        <x:v>28.605837355173</x:v>
      </x:c>
      <x:c r="F90" s="127" t="n">
        <x:v>27.6</x:v>
      </x:c>
      <x:c r="G90" s="123" t="n">
        <x:v>14</x:v>
      </x:c>
      <x:c r="H90" s="123" t="n">
        <x:v>-1.005837355173</x:v>
      </x:c>
      <x:c r="I90" s="122" t="n">
        <x:v>-0.0351619616193863</x:v>
      </x:c>
      <x:c r="J90" s="36" t="str">
        <x:v>Leitura real — sequência serpentina</x:v>
      </x:c>
    </x:row>
    <x:row r="91">
      <x:c r="A91" s="40" t="n">
        <x:v>79</x:v>
      </x:c>
      <x:c r="B91" s="41" t="n">
        <x:v>1.7</x:v>
      </x:c>
      <x:c r="C91" s="41" t="n">
        <x:v>-1</x:v>
      </x:c>
      <x:c r="D91" s="126" t="n">
        <x:v>12.622069333318302</x:v>
      </x:c>
      <x:c r="E91" s="126" t="n">
        <x:v>28.9779306666817</x:v>
      </x:c>
      <x:c r="F91" s="127" t="n">
        <x:v>30.8</x:v>
      </x:c>
      <x:c r="G91" s="123" t="n">
        <x:v>10.8</x:v>
      </x:c>
      <x:c r="H91" s="123" t="n">
        <x:v>1.8220693333183</x:v>
      </x:c>
      <x:c r="I91" s="122" t="n">
        <x:v>0.06287782776060273</x:v>
      </x:c>
      <x:c r="J91" s="36" t="str">
        <x:v>Leitura real — sequência serpentina</x:v>
      </x:c>
    </x:row>
    <x:row r="92">
      <x:c r="A92" s="40" t="n">
        <x:v>80</x:v>
      </x:c>
      <x:c r="B92" s="41" t="n">
        <x:v>1.95</x:v>
      </x:c>
      <x:c r="C92" s="41" t="n">
        <x:v>-1</x:v>
      </x:c>
      <x:c r="D92" s="126" t="n">
        <x:v>12.014082071123966</x:v>
      </x:c>
      <x:c r="E92" s="126" t="n">
        <x:v>29.585917928876036</x:v>
      </x:c>
      <x:c r="F92" s="127" t="n">
        <x:v>29.3</x:v>
      </x:c>
      <x:c r="G92" s="123" t="n">
        <x:v>12.3</x:v>
      </x:c>
      <x:c r="H92" s="123" t="n">
        <x:v>-0.2859179288760352</x:v>
      </x:c>
      <x:c r="I92" s="122" t="n">
        <x:v>-0.009663987088836529</x:v>
      </x:c>
      <x:c r="J92" s="36" t="str">
        <x:v>Leitura real — sequência serpentina</x:v>
      </x:c>
    </x:row>
    <x:row r="93">
      <x:c r="A93" s="40" t="n">
        <x:v>81</x:v>
      </x:c>
      <x:c r="B93" s="41" t="n">
        <x:v>2.2</x:v>
      </x:c>
      <x:c r="C93" s="41" t="n">
        <x:v>-1</x:v>
      </x:c>
      <x:c r="D93" s="126" t="n">
        <x:v>11.204742181349253</x:v>
      </x:c>
      <x:c r="E93" s="126" t="n">
        <x:v>30.395257818650748</x:v>
      </x:c>
      <x:c r="F93" s="127" t="n">
        <x:v>32.7</x:v>
      </x:c>
      <x:c r="G93" s="123" t="n">
        <x:v>8.899999999999999</x:v>
      </x:c>
      <x:c r="H93" s="123" t="n">
        <x:v>2.304742181349255</x:v>
      </x:c>
      <x:c r="I93" s="122" t="n">
        <x:v>0.07582571581067651</x:v>
      </x:c>
      <x:c r="J93" s="36" t="str">
        <x:v>Leitura real — sequência serpentina</x:v>
      </x:c>
    </x:row>
    <x:row r="94">
      <x:c r="A94" s="40" t="n">
        <x:v>82</x:v>
      </x:c>
      <x:c r="B94" s="41" t="n">
        <x:v>2.45</x:v>
      </x:c>
      <x:c r="C94" s="41" t="n">
        <x:v>-1</x:v>
      </x:c>
      <x:c r="D94" s="126" t="n">
        <x:v>10.26388032053689</x:v>
      </x:c>
      <x:c r="E94" s="126" t="n">
        <x:v>31.33611967946311</x:v>
      </x:c>
      <x:c r="F94" s="127" t="n">
        <x:v>30.1</x:v>
      </x:c>
      <x:c r="G94" s="123" t="n">
        <x:v>11.5</x:v>
      </x:c>
      <x:c r="H94" s="123" t="n">
        <x:v>-1.2361196794631084</x:v>
      </x:c>
      <x:c r="I94" s="122" t="n">
        <x:v>-0.03944712019571554</x:v>
      </x:c>
      <x:c r="J94" s="36" t="str">
        <x:v>Leitura real — sequência serpentina</x:v>
      </x:c>
    </x:row>
    <x:row r="95">
      <x:c r="A95" s="40" t="n">
        <x:v>83</x:v>
      </x:c>
      <x:c r="B95" s="41" t="n">
        <x:v>2.7</x:v>
      </x:c>
      <x:c r="C95" s="41" t="n">
        <x:v>-1</x:v>
      </x:c>
      <x:c r="D95" s="126" t="n">
        <x:v>9.286728320755502</x:v>
      </x:c>
      <x:c r="E95" s="126" t="n">
        <x:v>32.3132716792445</x:v>
      </x:c>
      <x:c r="F95" s="127" t="n">
        <x:v>32.4</x:v>
      </x:c>
      <x:c r="G95" s="123" t="n">
        <x:v>9.200000000000003</x:v>
      </x:c>
      <x:c r="H95" s="123" t="n">
        <x:v>0.08672832075549763</x:v>
      </x:c>
      <x:c r="I95" s="122" t="n">
        <x:v>0.0026839845131251465</x:v>
      </x:c>
      <x:c r="J95" s="36" t="str">
        <x:v>Leitura real — sequência serpentina</x:v>
      </x:c>
    </x:row>
    <x:row r="96">
      <x:c r="A96" s="40" t="n">
        <x:v>84</x:v>
      </x:c>
      <x:c r="B96" s="41" t="n">
        <x:v>2.95</x:v>
      </x:c>
      <x:c r="C96" s="41" t="n">
        <x:v>-1</x:v>
      </x:c>
      <x:c r="D96" s="126" t="n">
        <x:v>8.358971955451157</x:v>
      </x:c>
      <x:c r="E96" s="126" t="n">
        <x:v>33.24102804454884</x:v>
      </x:c>
      <x:c r="F96" s="127" t="n">
        <x:v>34</x:v>
      </x:c>
      <x:c r="G96" s="123" t="n">
        <x:v>7.600000000000001</x:v>
      </x:c>
      <x:c r="H96" s="123" t="n">
        <x:v>0.7589719554511589</x:v>
      </x:c>
      <x:c r="I96" s="122" t="n">
        <x:v>0.022832385160711715</x:v>
      </x:c>
      <x:c r="J96" s="36" t="str">
        <x:v>Leitura real — sequência serpentina</x:v>
      </x:c>
    </x:row>
    <x:row r="97">
      <x:c r="A97" s="40" t="n">
        <x:v>85</x:v>
      </x:c>
      <x:c r="B97" s="41" t="n">
        <x:v>3.2</x:v>
      </x:c>
      <x:c r="C97" s="41" t="n">
        <x:v>-1</x:v>
      </x:c>
      <x:c r="D97" s="126" t="n">
        <x:v>7.529421929159229</x:v>
      </x:c>
      <x:c r="E97" s="126" t="n">
        <x:v>34.070578070840774</x:v>
      </x:c>
      <x:c r="F97" s="127" t="n">
        <x:v>34.7</x:v>
      </x:c>
      <x:c r="G97" s="123" t="n">
        <x:v>6.899999999999999</x:v>
      </x:c>
      <x:c r="H97" s="123" t="n">
        <x:v>0.6294219291592285</x:v>
      </x:c>
      <x:c r="I97" s="122" t="n">
        <x:v>0.01847406075266794</x:v>
      </x:c>
      <x:c r="J97" s="36" t="str">
        <x:v>Leitura real — sequência serpentina</x:v>
      </x:c>
    </x:row>
    <x:row r="98">
      <x:c r="A98" s="40" t="n">
        <x:v>86</x:v>
      </x:c>
      <x:c r="B98" s="41" t="n">
        <x:v>-0.8</x:v>
      </x:c>
      <x:c r="C98" s="41" t="n">
        <x:v>-0.75</x:v>
      </x:c>
      <x:c r="D98" s="126" t="n">
        <x:v>8.05248234725727</x:v>
      </x:c>
      <x:c r="E98" s="126" t="n">
        <x:v>33.547517652742734</x:v>
      </x:c>
      <x:c r="F98" s="127" t="n">
        <x:v>33.8</x:v>
      </x:c>
      <x:c r="G98" s="123" t="n">
        <x:v>7.800000000000004</x:v>
      </x:c>
      <x:c r="H98" s="123" t="n">
        <x:v>0.2524823472572635</x:v>
      </x:c>
      <x:c r="I98" s="122" t="n">
        <x:v>0.007526111167769856</x:v>
      </x:c>
      <x:c r="J98" s="36" t="str">
        <x:v>Leitura real — sequência serpentina</x:v>
      </x:c>
    </x:row>
    <x:row r="99">
      <x:c r="A99" s="40" t="n">
        <x:v>87</x:v>
      </x:c>
      <x:c r="B99" s="41" t="n">
        <x:v>-0.55</x:v>
      </x:c>
      <x:c r="C99" s="41" t="n">
        <x:v>-0.75</x:v>
      </x:c>
      <x:c r="D99" s="126" t="n">
        <x:v>9.118475139148824</x:v>
      </x:c>
      <x:c r="E99" s="126" t="n">
        <x:v>32.48152486085118</x:v>
      </x:c>
      <x:c r="F99" s="127" t="n">
        <x:v>29.5</x:v>
      </x:c>
      <x:c r="G99" s="123" t="n">
        <x:v>12.100000000000001</x:v>
      </x:c>
      <x:c r="H99" s="123" t="n">
        <x:v>-2.981524860851181</x:v>
      </x:c>
      <x:c r="I99" s="122" t="n">
        <x:v>-0.09179140676504095</x:v>
      </x:c>
      <x:c r="J99" s="36" t="str">
        <x:v>Leitura real — sequência serpentina</x:v>
      </x:c>
    </x:row>
    <x:row r="100">
      <x:c r="A100" s="40" t="n">
        <x:v>88</x:v>
      </x:c>
      <x:c r="B100" s="41" t="n">
        <x:v>-0.30000000000000004</x:v>
      </x:c>
      <x:c r="C100" s="41" t="n">
        <x:v>-0.75</x:v>
      </x:c>
      <x:c r="D100" s="126" t="n">
        <x:v>10.386629027743687</x:v>
      </x:c>
      <x:c r="E100" s="126" t="n">
        <x:v>31.213370972256314</x:v>
      </x:c>
      <x:c r="F100" s="127" t="n">
        <x:v>29.8</x:v>
      </x:c>
      <x:c r="G100" s="123" t="n">
        <x:v>11.8</x:v>
      </x:c>
      <x:c r="H100" s="123" t="n">
        <x:v>-1.4133709722563133</x:v>
      </x:c>
      <x:c r="I100" s="122" t="n">
        <x:v>-0.045280946217330184</x:v>
      </x:c>
      <x:c r="J100" s="36" t="str">
        <x:v>Leitura real — sequência serpentina</x:v>
      </x:c>
    </x:row>
    <x:row r="101">
      <x:c r="A101" s="40" t="n">
        <x:v>89</x:v>
      </x:c>
      <x:c r="B101" s="41" t="n">
        <x:v>-0.050000000000000044</x:v>
      </x:c>
      <x:c r="C101" s="41" t="n">
        <x:v>-0.75</x:v>
      </x:c>
      <x:c r="D101" s="126" t="n">
        <x:v>11.795847967871754</x:v>
      </x:c>
      <x:c r="E101" s="126" t="n">
        <x:v>29.804152032128247</x:v>
      </x:c>
      <x:c r="F101" s="127" t="n">
        <x:v>28.4</x:v>
      </x:c>
      <x:c r="G101" s="123" t="n">
        <x:v>13.200000000000003</x:v>
      </x:c>
      <x:c r="H101" s="123" t="n">
        <x:v>-1.4041520321282484</x:v>
      </x:c>
      <x:c r="I101" s="122" t="n">
        <x:v>-0.04711263150901264</x:v>
      </x:c>
      <x:c r="J101" s="36" t="str">
        <x:v>Leitura real — sequência serpentina</x:v>
      </x:c>
    </x:row>
    <x:row r="102">
      <x:c r="A102" s="40" t="n">
        <x:v>90</x:v>
      </x:c>
      <x:c r="B102" s="41" t="n">
        <x:v>0.19999999999999996</x:v>
      </x:c>
      <x:c r="C102" s="41" t="n">
        <x:v>-0.75</x:v>
      </x:c>
      <x:c r="D102" s="126" t="n">
        <x:v>13.183404647235264</x:v>
      </x:c>
      <x:c r="E102" s="126" t="n">
        <x:v>28.416595352764737</x:v>
      </x:c>
      <x:c r="F102" s="127" t="n">
        <x:v>29</x:v>
      </x:c>
      <x:c r="G102" s="123" t="n">
        <x:v>12.600000000000001</x:v>
      </x:c>
      <x:c r="H102" s="123" t="n">
        <x:v>0.5834046472352625</x:v>
      </x:c>
      <x:c r="I102" s="122" t="n">
        <x:v>0.020530420340398075</x:v>
      </x:c>
      <x:c r="J102" s="36" t="str">
        <x:v>Leitura real — sequência serpentina</x:v>
      </x:c>
    </x:row>
    <x:row r="103">
      <x:c r="A103" s="40" t="n">
        <x:v>91</x:v>
      </x:c>
      <x:c r="B103" s="41" t="n">
        <x:v>0.44999999999999996</x:v>
      </x:c>
      <x:c r="C103" s="41" t="n">
        <x:v>-0.75</x:v>
      </x:c>
      <x:c r="D103" s="126" t="n">
        <x:v>14.358947584227925</x:v>
      </x:c>
      <x:c r="E103" s="126" t="n">
        <x:v>27.241052415772074</x:v>
      </x:c>
      <x:c r="F103" s="127" t="n">
        <x:v>26.9</x:v>
      </x:c>
      <x:c r="G103" s="123" t="n">
        <x:v>14.700000000000003</x:v>
      </x:c>
      <x:c r="H103" s="123" t="n">
        <x:v>-0.3410524157720758</x:v>
      </x:c>
      <x:c r="I103" s="122" t="n">
        <x:v>-0.01251979587890711</x:v>
      </x:c>
      <x:c r="J103" s="36" t="str">
        <x:v>Leitura real — sequência serpentina</x:v>
      </x:c>
    </x:row>
    <x:row r="104">
      <x:c r="A104" s="40" t="n">
        <x:v>92</x:v>
      </x:c>
      <x:c r="B104" s="41" t="n">
        <x:v>0.7</x:v>
      </x:c>
      <x:c r="C104" s="41" t="n">
        <x:v>-0.75</x:v>
      </x:c>
      <x:c r="D104" s="126" t="n">
        <x:v>15.212493779745492</x:v>
      </x:c>
      <x:c r="E104" s="126" t="n">
        <x:v>26.387506220254508</x:v>
      </x:c>
      <x:c r="F104" s="127" t="n">
        <x:v>29.3</x:v>
      </x:c>
      <x:c r="G104" s="123" t="n">
        <x:v>12.3</x:v>
      </x:c>
      <x:c r="H104" s="123" t="n">
        <x:v>2.9124937797454926</x:v>
      </x:c>
      <x:c r="I104" s="122" t="n">
        <x:v>0.11037396847716978</x:v>
      </x:c>
      <x:c r="J104" s="36" t="str">
        <x:v>Leitura real — sequência serpentina</x:v>
      </x:c>
    </x:row>
    <x:row r="105">
      <x:c r="A105" s="40" t="n">
        <x:v>93</x:v>
      </x:c>
      <x:c r="B105" s="41" t="n">
        <x:v>0.95</x:v>
      </x:c>
      <x:c r="C105" s="41" t="n">
        <x:v>-0.75</x:v>
      </x:c>
      <x:c r="D105" s="126" t="n">
        <x:v>15.718948362096512</x:v>
      </x:c>
      <x:c r="E105" s="126" t="n">
        <x:v>25.88105163790349</x:v>
      </x:c>
      <x:c r="F105" s="127" t="n">
        <x:v>26.2</x:v>
      </x:c>
      <x:c r="G105" s="123" t="n">
        <x:v>15.400000000000002</x:v>
      </x:c>
      <x:c r="H105" s="123" t="n">
        <x:v>0.3189483620965099</x:v>
      </x:c>
      <x:c r="I105" s="122" t="n">
        <x:v>0.012323624501772622</x:v>
      </x:c>
      <x:c r="J105" s="36" t="str">
        <x:v>Leitura real — sequência serpentina</x:v>
      </x:c>
    </x:row>
    <x:row r="106">
      <x:c r="A106" s="40" t="n">
        <x:v>94</x:v>
      </x:c>
      <x:c r="B106" s="41" t="n">
        <x:v>1.2</x:v>
      </x:c>
      <x:c r="C106" s="41" t="n">
        <x:v>-0.75</x:v>
      </x:c>
      <x:c r="D106" s="126" t="n">
        <x:v>15.885863091158573</x:v>
      </x:c>
      <x:c r="E106" s="126" t="n">
        <x:v>25.71413690884143</x:v>
      </x:c>
      <x:c r="F106" s="127" t="n">
        <x:v>24.1</x:v>
      </x:c>
      <x:c r="G106" s="123" t="n">
        <x:v>17.5</x:v>
      </x:c>
      <x:c r="H106" s="123" t="n">
        <x:v>-1.6141369088414272</x:v>
      </x:c>
      <x:c r="I106" s="122" t="n">
        <x:v>-0.06277235415536851</x:v>
      </x:c>
      <x:c r="J106" s="36" t="str">
        <x:v>Leitura real — sequência serpentina</x:v>
      </x:c>
    </x:row>
    <x:row r="107">
      <x:c r="A107" s="40" t="n">
        <x:v>95</x:v>
      </x:c>
      <x:c r="B107" s="41" t="n">
        <x:v>1.45</x:v>
      </x:c>
      <x:c r="C107" s="41" t="n">
        <x:v>-0.75</x:v>
      </x:c>
      <x:c r="D107" s="126" t="n">
        <x:v>15.718948362096512</x:v>
      </x:c>
      <x:c r="E107" s="126" t="n">
        <x:v>25.88105163790349</x:v>
      </x:c>
      <x:c r="F107" s="127" t="n">
        <x:v>23.6</x:v>
      </x:c>
      <x:c r="G107" s="123" t="n">
        <x:v>18</x:v>
      </x:c>
      <x:c r="H107" s="123" t="n">
        <x:v>-2.281051637903488</x:v>
      </x:c>
      <x:c r="I107" s="122" t="n">
        <x:v>-0.08813597182283069</x:v>
      </x:c>
      <x:c r="J107" s="36" t="str">
        <x:v>Leitura real — sequência serpentina</x:v>
      </x:c>
    </x:row>
    <x:row r="108">
      <x:c r="A108" s="40" t="n">
        <x:v>96</x:v>
      </x:c>
      <x:c r="B108" s="41" t="n">
        <x:v>1.7</x:v>
      </x:c>
      <x:c r="C108" s="41" t="n">
        <x:v>-0.75</x:v>
      </x:c>
      <x:c r="D108" s="126" t="n">
        <x:v>15.212493779745492</x:v>
      </x:c>
      <x:c r="E108" s="126" t="n">
        <x:v>26.387506220254508</x:v>
      </x:c>
      <x:c r="F108" s="127" t="n">
        <x:v>23.8</x:v>
      </x:c>
      <x:c r="G108" s="123" t="n">
        <x:v>17.8</x:v>
      </x:c>
      <x:c r="H108" s="123" t="n">
        <x:v>-2.5875062202545074</x:v>
      </x:c>
      <x:c r="I108" s="122" t="n">
        <x:v>-0.0980580051277597</x:v>
      </x:c>
      <x:c r="J108" s="36" t="str">
        <x:v>Leitura real — sequência serpentina</x:v>
      </x:c>
    </x:row>
    <x:row r="109">
      <x:c r="A109" s="40" t="n">
        <x:v>97</x:v>
      </x:c>
      <x:c r="B109" s="41" t="n">
        <x:v>1.95</x:v>
      </x:c>
      <x:c r="C109" s="41" t="n">
        <x:v>-0.75</x:v>
      </x:c>
      <x:c r="D109" s="126" t="n">
        <x:v>14.358947584227925</x:v>
      </x:c>
      <x:c r="E109" s="126" t="n">
        <x:v>27.241052415772074</x:v>
      </x:c>
      <x:c r="F109" s="127" t="n">
        <x:v>28.1</x:v>
      </x:c>
      <x:c r="G109" s="123" t="n">
        <x:v>13.5</x:v>
      </x:c>
      <x:c r="H109" s="123" t="n">
        <x:v>0.858947584227927</x:v>
      </x:c>
      <x:c r="I109" s="122" t="n">
        <x:v>0.031531365643223536</x:v>
      </x:c>
      <x:c r="J109" s="36" t="str">
        <x:v>Leitura real — sequência serpentina</x:v>
      </x:c>
    </x:row>
    <x:row r="110">
      <x:c r="A110" s="40" t="n">
        <x:v>98</x:v>
      </x:c>
      <x:c r="B110" s="41" t="n">
        <x:v>2.2</x:v>
      </x:c>
      <x:c r="C110" s="41" t="n">
        <x:v>-0.75</x:v>
      </x:c>
      <x:c r="D110" s="126" t="n">
        <x:v>13.18340464723526</x:v>
      </x:c>
      <x:c r="E110" s="126" t="n">
        <x:v>28.41659535276474</x:v>
      </x:c>
      <x:c r="F110" s="127" t="n">
        <x:v>29.5</x:v>
      </x:c>
      <x:c r="G110" s="123" t="n">
        <x:v>12.100000000000001</x:v>
      </x:c>
      <x:c r="H110" s="123" t="n">
        <x:v>1.083404647235259</x:v>
      </x:c>
      <x:c r="I110" s="122" t="n">
        <x:v>0.03812577241523239</x:v>
      </x:c>
      <x:c r="J110" s="36" t="str">
        <x:v>Leitura real — sequência serpentina</x:v>
      </x:c>
    </x:row>
    <x:row r="111">
      <x:c r="A111" s="40" t="n">
        <x:v>99</x:v>
      </x:c>
      <x:c r="B111" s="41" t="n">
        <x:v>2.45</x:v>
      </x:c>
      <x:c r="C111" s="41" t="n">
        <x:v>-0.75</x:v>
      </x:c>
      <x:c r="D111" s="126" t="n">
        <x:v>11.795847967871753</x:v>
      </x:c>
      <x:c r="E111" s="126" t="n">
        <x:v>29.80415203212825</x:v>
      </x:c>
      <x:c r="F111" s="127" t="n">
        <x:v>28.5</x:v>
      </x:c>
      <x:c r="G111" s="123" t="n">
        <x:v>13.100000000000001</x:v>
      </x:c>
      <x:c r="H111" s="123" t="n">
        <x:v>-1.3041520321282505</x:v>
      </x:c>
      <x:c r="I111" s="122" t="n">
        <x:v>-0.04375739429601627</x:v>
      </x:c>
      <x:c r="J111" s="36" t="str">
        <x:v>Leitura real — sequência serpentina</x:v>
      </x:c>
    </x:row>
    <x:row r="112">
      <x:c r="A112" s="40" t="n">
        <x:v>100</x:v>
      </x:c>
      <x:c r="B112" s="41" t="n">
        <x:v>2.7</x:v>
      </x:c>
      <x:c r="C112" s="41" t="n">
        <x:v>-0.75</x:v>
      </x:c>
      <x:c r="D112" s="126" t="n">
        <x:v>10.386629027743686</x:v>
      </x:c>
      <x:c r="E112" s="126" t="n">
        <x:v>31.213370972256314</x:v>
      </x:c>
      <x:c r="F112" s="127" t="n">
        <x:v>30.9</x:v>
      </x:c>
      <x:c r="G112" s="123" t="n">
        <x:v>10.700000000000003</x:v>
      </x:c>
      <x:c r="H112" s="123" t="n">
        <x:v>-0.3133709722563154</x:v>
      </x:c>
      <x:c r="I112" s="122" t="n">
        <x:v>-0.0100396388629364</x:v>
      </x:c>
      <x:c r="J112" s="36" t="str">
        <x:v>Leitura real — sequência serpentina</x:v>
      </x:c>
    </x:row>
    <x:row r="113">
      <x:c r="A113" s="40" t="n">
        <x:v>101</x:v>
      </x:c>
      <x:c r="B113" s="41" t="n">
        <x:v>2.95</x:v>
      </x:c>
      <x:c r="C113" s="41" t="n">
        <x:v>-0.75</x:v>
      </x:c>
      <x:c r="D113" s="126" t="n">
        <x:v>9.118475139148824</x:v>
      </x:c>
      <x:c r="E113" s="126" t="n">
        <x:v>32.48152486085118</x:v>
      </x:c>
      <x:c r="F113" s="127" t="n">
        <x:v>31.4</x:v>
      </x:c>
      <x:c r="G113" s="123" t="n">
        <x:v>10.200000000000003</x:v>
      </x:c>
      <x:c r="H113" s="123" t="n">
        <x:v>-1.0815248608511823</x:v>
      </x:c>
      <x:c r="I113" s="122" t="n">
        <x:v>-0.033296616014314814</x:v>
      </x:c>
      <x:c r="J113" s="36" t="str">
        <x:v>Leitura real — sequência serpentina</x:v>
      </x:c>
    </x:row>
    <x:row r="114">
      <x:c r="A114" s="40" t="n">
        <x:v>102</x:v>
      </x:c>
      <x:c r="B114" s="41" t="n">
        <x:v>3.2</x:v>
      </x:c>
      <x:c r="C114" s="41" t="n">
        <x:v>-0.75</x:v>
      </x:c>
      <x:c r="D114" s="126" t="n">
        <x:v>8.05248234725727</x:v>
      </x:c>
      <x:c r="E114" s="126" t="n">
        <x:v>33.547517652742734</x:v>
      </x:c>
      <x:c r="F114" s="127" t="n">
        <x:v>31.4</x:v>
      </x:c>
      <x:c r="G114" s="123" t="n">
        <x:v>10.200000000000003</x:v>
      </x:c>
      <x:c r="H114" s="123" t="n">
        <x:v>-2.147517652742735</x:v>
      </x:c>
      <x:c r="I114" s="122" t="n">
        <x:v>-0.06401420441810726</x:v>
      </x:c>
      <x:c r="J114" s="36" t="str">
        <x:v>Leitura real — sequência serpentina</x:v>
      </x:c>
    </x:row>
    <x:row r="115">
      <x:c r="A115" s="40" t="n">
        <x:v>103</x:v>
      </x:c>
      <x:c r="B115" s="41" t="n">
        <x:v>-0.8</x:v>
      </x:c>
      <x:c r="C115" s="41" t="n">
        <x:v>-0.5</x:v>
      </x:c>
      <x:c r="D115" s="126" t="n">
        <x:v>8.533095261059264</x:v>
      </x:c>
      <x:c r="E115" s="126" t="n">
        <x:v>33.066904738940735</x:v>
      </x:c>
      <x:c r="F115" s="127" t="n">
        <x:v>35</x:v>
      </x:c>
      <x:c r="G115" s="123" t="n">
        <x:v>6.600000000000001</x:v>
      </x:c>
      <x:c r="H115" s="123" t="n">
        <x:v>1.9330952610592647</x:v>
      </x:c>
      <x:c r="I115" s="122" t="n">
        <x:v>0.058460121269916884</x:v>
      </x:c>
      <x:c r="J115" s="36" t="str">
        <x:v>Leitura real — sequência serpentina</x:v>
      </x:c>
    </x:row>
    <x:row r="116">
      <x:c r="A116" s="40" t="n">
        <x:v>104</x:v>
      </x:c>
      <x:c r="B116" s="41" t="n">
        <x:v>-0.55</x:v>
      </x:c>
      <x:c r="C116" s="41" t="n">
        <x:v>-0.5</x:v>
      </x:c>
      <x:c r="D116" s="126" t="n">
        <x:v>9.886299388292914</x:v>
      </x:c>
      <x:c r="E116" s="126" t="n">
        <x:v>31.71370061170709</x:v>
      </x:c>
      <x:c r="F116" s="127" t="n">
        <x:v>31.5</x:v>
      </x:c>
      <x:c r="G116" s="123" t="n">
        <x:v>10.100000000000001</x:v>
      </x:c>
      <x:c r="H116" s="123" t="n">
        <x:v>-0.21370061170708965</x:v>
      </x:c>
      <x:c r="I116" s="122" t="n">
        <x:v>-0.006738431894895363</x:v>
      </x:c>
      <x:c r="J116" s="36" t="str">
        <x:v>Leitura real — sequência serpentina</x:v>
      </x:c>
    </x:row>
    <x:row r="117">
      <x:c r="A117" s="40" t="n">
        <x:v>105</x:v>
      </x:c>
      <x:c r="B117" s="41" t="n">
        <x:v>-0.30000000000000004</x:v>
      </x:c>
      <x:c r="C117" s="41" t="n">
        <x:v>-0.5</x:v>
      </x:c>
      <x:c r="D117" s="126" t="n">
        <x:v>11.64771982317229</x:v>
      </x:c>
      <x:c r="E117" s="126" t="n">
        <x:v>29.952280176827713</x:v>
      </x:c>
      <x:c r="F117" s="127" t="n">
        <x:v>32.4</x:v>
      </x:c>
      <x:c r="G117" s="123" t="n">
        <x:v>9.200000000000003</x:v>
      </x:c>
      <x:c r="H117" s="123" t="n">
        <x:v>2.447719823172285</x:v>
      </x:c>
      <x:c r="I117" s="122" t="n">
        <x:v>0.08172065060562365</x:v>
      </x:c>
      <x:c r="J117" s="36" t="str">
        <x:v>Leitura real — sequência serpentina</x:v>
      </x:c>
    </x:row>
    <x:row r="118">
      <x:c r="A118" s="40" t="n">
        <x:v>106</x:v>
      </x:c>
      <x:c r="B118" s="41" t="n">
        <x:v>-0.050000000000000044</x:v>
      </x:c>
      <x:c r="C118" s="41" t="n">
        <x:v>-0.5</x:v>
      </x:c>
      <x:c r="D118" s="126" t="n">
        <x:v>13.791765323900568</x:v>
      </x:c>
      <x:c r="E118" s="126" t="n">
        <x:v>27.80823467609943</x:v>
      </x:c>
      <x:c r="F118" s="127" t="n">
        <x:v>28.4</x:v>
      </x:c>
      <x:c r="G118" s="123" t="n">
        <x:v>13.200000000000003</x:v>
      </x:c>
      <x:c r="H118" s="123" t="n">
        <x:v>0.5917653239005674</x:v>
      </x:c>
      <x:c r="I118" s="122" t="n">
        <x:v>0.02128021899963239</x:v>
      </x:c>
      <x:c r="J118" s="36" t="str">
        <x:v>Leitura real — sequência serpentina</x:v>
      </x:c>
    </x:row>
    <x:row r="119">
      <x:c r="A119" s="40" t="n">
        <x:v>107</x:v>
      </x:c>
      <x:c r="B119" s="41" t="n">
        <x:v>0.19999999999999996</x:v>
      </x:c>
      <x:c r="C119" s="41" t="n">
        <x:v>-0.5</x:v>
      </x:c>
      <x:c r="D119" s="126" t="n">
        <x:v>15.969607643374747</x:v>
      </x:c>
      <x:c r="E119" s="126" t="n">
        <x:v>25.630392356625254</x:v>
      </x:c>
      <x:c r="F119" s="127" t="n">
        <x:v>25.9</x:v>
      </x:c>
      <x:c r="G119" s="123" t="n">
        <x:v>15.700000000000003</x:v>
      </x:c>
      <x:c r="H119" s="123" t="n">
        <x:v>0.2696076433747443</x:v>
      </x:c>
      <x:c r="I119" s="122" t="n">
        <x:v>0.010519060325857746</x:v>
      </x:c>
      <x:c r="J119" s="36" t="str">
        <x:v>Leitura real — sequência serpentina</x:v>
      </x:c>
    </x:row>
    <x:row r="120">
      <x:c r="A120" s="40" t="n">
        <x:v>108</x:v>
      </x:c>
      <x:c r="B120" s="41" t="n">
        <x:v>0.44999999999999996</x:v>
      </x:c>
      <x:c r="C120" s="41" t="n">
        <x:v>-0.5</x:v>
      </x:c>
      <x:c r="D120" s="126" t="n">
        <x:v>17.726603653439383</x:v>
      </x:c>
      <x:c r="E120" s="126" t="n">
        <x:v>23.873396346560618</x:v>
      </x:c>
      <x:c r="F120" s="127" t="n">
        <x:v>24.8</x:v>
      </x:c>
      <x:c r="G120" s="123" t="n">
        <x:v>16.8</x:v>
      </x:c>
      <x:c r="H120" s="123" t="n">
        <x:v>0.9266036534393827</x:v>
      </x:c>
      <x:c r="I120" s="122" t="n">
        <x:v>0.038813231263295986</x:v>
      </x:c>
      <x:c r="J120" s="36" t="str">
        <x:v>Leitura real — sequência serpentina</x:v>
      </x:c>
    </x:row>
    <x:row r="121">
      <x:c r="A121" s="40" t="n">
        <x:v>109</x:v>
      </x:c>
      <x:c r="B121" s="41" t="n">
        <x:v>0.7</x:v>
      </x:c>
      <x:c r="C121" s="41" t="n">
        <x:v>-0.5</x:v>
      </x:c>
      <x:c r="D121" s="126" t="n">
        <x:v>18.913092129902644</x:v>
      </x:c>
      <x:c r="E121" s="126" t="n">
        <x:v>22.686907870097357</x:v>
      </x:c>
      <x:c r="F121" s="127" t="n">
        <x:v>23.5</x:v>
      </x:c>
      <x:c r="G121" s="123" t="n">
        <x:v>18.1</x:v>
      </x:c>
      <x:c r="H121" s="123" t="n">
        <x:v>0.8130921299026426</x:v>
      </x:c>
      <x:c r="I121" s="122" t="n">
        <x:v>0.03583970696043353</x:v>
      </x:c>
      <x:c r="J121" s="36" t="str">
        <x:v>Leitura real — sequência serpentina</x:v>
      </x:c>
    </x:row>
    <x:row r="122">
      <x:c r="A122" s="40" t="n">
        <x:v>110</x:v>
      </x:c>
      <x:c r="B122" s="41" t="n">
        <x:v>0.95</x:v>
      </x:c>
      <x:c r="C122" s="41" t="n">
        <x:v>-0.5</x:v>
      </x:c>
      <x:c r="D122" s="126" t="n">
        <x:v>19.580807810444814</x:v>
      </x:c>
      <x:c r="E122" s="126" t="n">
        <x:v>22.019192189555188</x:v>
      </x:c>
      <x:c r="F122" s="127" t="n">
        <x:v>23.6</x:v>
      </x:c>
      <x:c r="G122" s="123" t="n">
        <x:v>18</x:v>
      </x:c>
      <x:c r="H122" s="123" t="n">
        <x:v>1.5808078104448136</x:v>
      </x:c>
      <x:c r="I122" s="122" t="n">
        <x:v>0.0717922708896955</x:v>
      </x:c>
      <x:c r="J122" s="36" t="str">
        <x:v>Leitura real — sequência serpentina</x:v>
      </x:c>
    </x:row>
    <x:row r="123">
      <x:c r="A123" s="40" t="n">
        <x:v>111</x:v>
      </x:c>
      <x:c r="B123" s="41" t="n">
        <x:v>1.2</x:v>
      </x:c>
      <x:c r="C123" s="41" t="n">
        <x:v>-0.5</x:v>
      </x:c>
      <x:c r="D123" s="126" t="n">
        <x:v>19.79533227393452</x:v>
      </x:c>
      <x:c r="E123" s="126" t="n">
        <x:v>21.80466772606548</x:v>
      </x:c>
      <x:c r="F123" s="127" t="n">
        <x:v>21.2</x:v>
      </x:c>
      <x:c r="G123" s="123" t="n">
        <x:v>20.400000000000002</x:v>
      </x:c>
      <x:c r="H123" s="123" t="n">
        <x:v>-0.6046677260654825</x:v>
      </x:c>
      <x:c r="I123" s="122" t="n">
        <x:v>-0.027731113982656916</x:v>
      </x:c>
      <x:c r="J123" s="36" t="str">
        <x:v>Leitura real — sequência serpentina</x:v>
      </x:c>
    </x:row>
    <x:row r="124">
      <x:c r="A124" s="40" t="n">
        <x:v>112</x:v>
      </x:c>
      <x:c r="B124" s="41" t="n">
        <x:v>1.45</x:v>
      </x:c>
      <x:c r="C124" s="41" t="n">
        <x:v>-0.5</x:v>
      </x:c>
      <x:c r="D124" s="126" t="n">
        <x:v>19.580807810444814</x:v>
      </x:c>
      <x:c r="E124" s="126" t="n">
        <x:v>22.019192189555188</x:v>
      </x:c>
      <x:c r="F124" s="127" t="n">
        <x:v>19.8</x:v>
      </x:c>
      <x:c r="G124" s="123" t="n">
        <x:v>21.8</x:v>
      </x:c>
      <x:c r="H124" s="123" t="n">
        <x:v>-2.219192189555187</x:v>
      </x:c>
      <x:c r="I124" s="122" t="n">
        <x:v>-0.10078445069423854</x:v>
      </x:c>
      <x:c r="J124" s="36" t="str">
        <x:v>Leitura real — sequência serpentina</x:v>
      </x:c>
    </x:row>
    <x:row r="125">
      <x:c r="A125" s="40" t="n">
        <x:v>113</x:v>
      </x:c>
      <x:c r="B125" s="41" t="n">
        <x:v>1.7</x:v>
      </x:c>
      <x:c r="C125" s="41" t="n">
        <x:v>-0.5</x:v>
      </x:c>
      <x:c r="D125" s="126" t="n">
        <x:v>18.913092129902644</x:v>
      </x:c>
      <x:c r="E125" s="126" t="n">
        <x:v>22.686907870097357</x:v>
      </x:c>
      <x:c r="F125" s="127" t="n">
        <x:v>23.1</x:v>
      </x:c>
      <x:c r="G125" s="123" t="n">
        <x:v>18.5</x:v>
      </x:c>
      <x:c r="H125" s="123" t="n">
        <x:v>0.413092129902644</x:v>
      </x:c>
      <x:c r="I125" s="122" t="n">
        <x:v>0.01820839279940494</x:v>
      </x:c>
      <x:c r="J125" s="36" t="str">
        <x:v>Leitura real — sequência serpentina</x:v>
      </x:c>
    </x:row>
    <x:row r="126">
      <x:c r="A126" s="40" t="n">
        <x:v>114</x:v>
      </x:c>
      <x:c r="B126" s="41" t="n">
        <x:v>1.95</x:v>
      </x:c>
      <x:c r="C126" s="41" t="n">
        <x:v>-0.5</x:v>
      </x:c>
      <x:c r="D126" s="126" t="n">
        <x:v>17.726603653439383</x:v>
      </x:c>
      <x:c r="E126" s="126" t="n">
        <x:v>23.873396346560618</x:v>
      </x:c>
      <x:c r="F126" s="127" t="n">
        <x:v>23.5</x:v>
      </x:c>
      <x:c r="G126" s="123" t="n">
        <x:v>18.1</x:v>
      </x:c>
      <x:c r="H126" s="123" t="n">
        <x:v>-0.37339634656061804</x:v>
      </x:c>
      <x:c r="I126" s="122" t="n">
        <x:v>-0.015640688117441334</x:v>
      </x:c>
      <x:c r="J126" s="36" t="str">
        <x:v>Leitura real — sequência serpentina</x:v>
      </x:c>
    </x:row>
    <x:row r="127">
      <x:c r="A127" s="40" t="n">
        <x:v>115</x:v>
      </x:c>
      <x:c r="B127" s="41" t="n">
        <x:v>2.2</x:v>
      </x:c>
      <x:c r="C127" s="41" t="n">
        <x:v>-0.5</x:v>
      </x:c>
      <x:c r="D127" s="126" t="n">
        <x:v>15.969607643374744</x:v>
      </x:c>
      <x:c r="E127" s="126" t="n">
        <x:v>25.630392356625258</x:v>
      </x:c>
      <x:c r="F127" s="127" t="n">
        <x:v>25.7</x:v>
      </x:c>
      <x:c r="G127" s="123" t="n">
        <x:v>15.900000000000002</x:v>
      </x:c>
      <x:c r="H127" s="123" t="n">
        <x:v>0.06960764337474146</x:v>
      </x:c>
      <x:c r="I127" s="122" t="n">
        <x:v>0.0027158243387853725</x:v>
      </x:c>
      <x:c r="J127" s="36" t="str">
        <x:v>Leitura real — sequência serpentina</x:v>
      </x:c>
    </x:row>
    <x:row r="128">
      <x:c r="A128" s="40" t="n">
        <x:v>116</x:v>
      </x:c>
      <x:c r="B128" s="41" t="n">
        <x:v>2.45</x:v>
      </x:c>
      <x:c r="C128" s="41" t="n">
        <x:v>-0.5</x:v>
      </x:c>
      <x:c r="D128" s="126" t="n">
        <x:v>13.791765323900567</x:v>
      </x:c>
      <x:c r="E128" s="126" t="n">
        <x:v>27.808234676099435</x:v>
      </x:c>
      <x:c r="F128" s="127" t="n">
        <x:v>30.6</x:v>
      </x:c>
      <x:c r="G128" s="123" t="n">
        <x:v>11</x:v>
      </x:c>
      <x:c r="H128" s="123" t="n">
        <x:v>2.7917653239005666</x:v>
      </x:c>
      <x:c r="I128" s="122" t="n">
        <x:v>0.10039347540101233</x:v>
      </x:c>
      <x:c r="J128" s="36" t="str">
        <x:v>Leitura real — sequência serpentina</x:v>
      </x:c>
    </x:row>
    <x:row r="129">
      <x:c r="A129" s="40" t="n">
        <x:v>117</x:v>
      </x:c>
      <x:c r="B129" s="41" t="n">
        <x:v>2.7</x:v>
      </x:c>
      <x:c r="C129" s="41" t="n">
        <x:v>-0.5</x:v>
      </x:c>
      <x:c r="D129" s="126" t="n">
        <x:v>11.647719823172288</x:v>
      </x:c>
      <x:c r="E129" s="126" t="n">
        <x:v>29.952280176827713</x:v>
      </x:c>
      <x:c r="F129" s="127" t="n">
        <x:v>28.7</x:v>
      </x:c>
      <x:c r="G129" s="123" t="n">
        <x:v>12.900000000000002</x:v>
      </x:c>
      <x:c r="H129" s="123" t="n">
        <x:v>-1.252280176827714</x:v>
      </x:c>
      <x:c r="I129" s="122" t="n">
        <x:v>-0.041809176778351866</x:v>
      </x:c>
      <x:c r="J129" s="36" t="str">
        <x:v>Leitura real — sequência serpentina</x:v>
      </x:c>
    </x:row>
    <x:row r="130">
      <x:c r="A130" s="40" t="n">
        <x:v>118</x:v>
      </x:c>
      <x:c r="B130" s="41" t="n">
        <x:v>2.95</x:v>
      </x:c>
      <x:c r="C130" s="41" t="n">
        <x:v>-0.5</x:v>
      </x:c>
      <x:c r="D130" s="126" t="n">
        <x:v>9.886299388292912</x:v>
      </x:c>
      <x:c r="E130" s="126" t="n">
        <x:v>31.71370061170709</x:v>
      </x:c>
      <x:c r="F130" s="127" t="n">
        <x:v>33.4</x:v>
      </x:c>
      <x:c r="G130" s="123" t="n">
        <x:v>8.200000000000003</x:v>
      </x:c>
      <x:c r="H130" s="123" t="n">
        <x:v>1.686299388292909</x:v>
      </x:c>
      <x:c r="I130" s="122" t="n">
        <x:v>0.05317258332414265</x:v>
      </x:c>
      <x:c r="J130" s="36" t="str">
        <x:v>Leitura real — sequência serpentina</x:v>
      </x:c>
    </x:row>
    <x:row r="131">
      <x:c r="A131" s="40" t="n">
        <x:v>119</x:v>
      </x:c>
      <x:c r="B131" s="41" t="n">
        <x:v>3.2</x:v>
      </x:c>
      <x:c r="C131" s="41" t="n">
        <x:v>-0.5</x:v>
      </x:c>
      <x:c r="D131" s="126" t="n">
        <x:v>8.533095261059263</x:v>
      </x:c>
      <x:c r="E131" s="126" t="n">
        <x:v>33.066904738940735</x:v>
      </x:c>
      <x:c r="F131" s="127" t="n">
        <x:v>35.2</x:v>
      </x:c>
      <x:c r="G131" s="123" t="n">
        <x:v>6.399999999999999</x:v>
      </x:c>
      <x:c r="H131" s="123" t="n">
        <x:v>2.1330952610592675</x:v>
      </x:c>
      <x:c r="I131" s="122" t="n">
        <x:v>0.06450846482003078</x:v>
      </x:c>
      <x:c r="J131" s="36" t="str">
        <x:v>Leitura real — sequência serpentina</x:v>
      </x:c>
    </x:row>
    <x:row r="132">
      <x:c r="A132" s="40" t="n">
        <x:v>120</x:v>
      </x:c>
      <x:c r="B132" s="41" t="n">
        <x:v>-0.8</x:v>
      </x:c>
      <x:c r="C132" s="41" t="n">
        <x:v>-0.25</x:v>
      </x:c>
      <x:c r="D132" s="126" t="n">
        <x:v>8.889171962677498</x:v>
      </x:c>
      <x:c r="E132" s="126" t="n">
        <x:v>32.7108280373225</x:v>
      </x:c>
      <x:c r="F132" s="127" t="n">
        <x:v>36.6</x:v>
      </x:c>
      <x:c r="G132" s="123" t="n">
        <x:v>5</x:v>
      </x:c>
      <x:c r="H132" s="123" t="n">
        <x:v>3.8891719626775014</x:v>
      </x:c>
      <x:c r="I132" s="122" t="n">
        <x:v>0.11889555220797292</x:v>
      </x:c>
      <x:c r="J132" s="36" t="str">
        <x:v>Leitura real — sequência serpentina</x:v>
      </x:c>
    </x:row>
    <x:row r="133">
      <x:c r="A133" s="40" t="n">
        <x:v>121</x:v>
      </x:c>
      <x:c r="B133" s="41" t="n">
        <x:v>-0.55</x:v>
      </x:c>
      <x:c r="C133" s="41" t="n">
        <x:v>-0.25</x:v>
      </x:c>
      <x:c r="D133" s="126" t="n">
        <x:v>10.522542900974331</x:v>
      </x:c>
      <x:c r="E133" s="126" t="n">
        <x:v>31.077457099025672</x:v>
      </x:c>
      <x:c r="F133" s="127" t="n">
        <x:v>30.7</x:v>
      </x:c>
      <x:c r="G133" s="123" t="n">
        <x:v>10.900000000000002</x:v>
      </x:c>
      <x:c r="H133" s="123" t="n">
        <x:v>-0.3774570990256727</x:v>
      </x:c>
      <x:c r="I133" s="122" t="n">
        <x:v>-0.012145688040785892</x:v>
      </x:c>
      <x:c r="J133" s="36" t="str">
        <x:v>Leitura real — sequência serpentina</x:v>
      </x:c>
    </x:row>
    <x:row r="134">
      <x:c r="A134" s="40" t="n">
        <x:v>122</x:v>
      </x:c>
      <x:c r="B134" s="41" t="n">
        <x:v>-0.30000000000000004</x:v>
      </x:c>
      <x:c r="C134" s="41" t="n">
        <x:v>-0.25</x:v>
      </x:c>
      <x:c r="D134" s="126" t="n">
        <x:v>12.906194399979011</x:v>
      </x:c>
      <x:c r="E134" s="126" t="n">
        <x:v>28.69380560002099</x:v>
      </x:c>
      <x:c r="F134" s="127" t="n">
        <x:v>26.9</x:v>
      </x:c>
      <x:c r="G134" s="123" t="n">
        <x:v>14.700000000000003</x:v>
      </x:c>
      <x:c r="H134" s="123" t="n">
        <x:v>-1.7938056000209919</x:v>
      </x:c>
      <x:c r="I134" s="122" t="n">
        <x:v>-0.06251543016028796</x:v>
      </x:c>
      <x:c r="J134" s="36" t="str">
        <x:v>Leitura real — sequência serpentina</x:v>
      </x:c>
    </x:row>
    <x:row r="135">
      <x:c r="A135" s="40" t="n">
        <x:v>123</x:v>
      </x:c>
      <x:c r="B135" s="41" t="n">
        <x:v>-0.050000000000000044</x:v>
      </x:c>
      <x:c r="C135" s="41" t="n">
        <x:v>-0.25</x:v>
      </x:c>
      <x:c r="D135" s="126" t="n">
        <x:v>16.307555756580047</x:v>
      </x:c>
      <x:c r="E135" s="126" t="n">
        <x:v>25.292444243419954</x:v>
      </x:c>
      <x:c r="F135" s="127" t="n">
        <x:v>26.7</x:v>
      </x:c>
      <x:c r="G135" s="123" t="n">
        <x:v>14.900000000000002</x:v>
      </x:c>
      <x:c r="H135" s="123" t="n">
        <x:v>1.4075557565800452</x:v>
      </x:c>
      <x:c r="I135" s="122" t="n">
        <x:v>0.055651234931405766</x:v>
      </x:c>
      <x:c r="J135" s="36" t="str">
        <x:v>Leitura real — sequência serpentina</x:v>
      </x:c>
    </x:row>
    <x:row r="136">
      <x:c r="A136" s="40" t="n">
        <x:v>124</x:v>
      </x:c>
      <x:c r="B136" s="41" t="n">
        <x:v>0.19999999999999996</x:v>
      </x:c>
      <x:c r="C136" s="41" t="n">
        <x:v>-0.25</x:v>
      </x:c>
      <x:c r="D136" s="126" t="n">
        <x:v>19.947999833523664</x:v>
      </x:c>
      <x:c r="E136" s="126" t="n">
        <x:v>21.652000166476338</x:v>
      </x:c>
      <x:c r="F136" s="127" t="n">
        <x:v>20.7</x:v>
      </x:c>
      <x:c r="G136" s="123" t="n">
        <x:v>20.900000000000002</x:v>
      </x:c>
      <x:c r="H136" s="123" t="n">
        <x:v>-0.9520001664763384</x:v>
      </x:c>
      <x:c r="I136" s="122" t="n">
        <x:v>-0.04396823199504287</x:v>
      </x:c>
      <x:c r="J136" s="36" t="str">
        <x:v>Leitura real — sequência serpentina</x:v>
      </x:c>
    </x:row>
    <x:row r="137">
      <x:c r="A137" s="40" t="n">
        <x:v>125</x:v>
      </x:c>
      <x:c r="B137" s="41" t="n">
        <x:v>0.44999999999999996</x:v>
      </x:c>
      <x:c r="C137" s="41" t="n">
        <x:v>-0.25</x:v>
      </x:c>
      <x:c r="D137" s="126" t="n">
        <x:v>22.54758688266329</x:v>
      </x:c>
      <x:c r="E137" s="126" t="n">
        <x:v>19.052413117336712</x:v>
      </x:c>
      <x:c r="F137" s="127" t="n">
        <x:v>17.3</x:v>
      </x:c>
      <x:c r="G137" s="123" t="n">
        <x:v>24.3</x:v>
      </x:c>
      <x:c r="H137" s="123" t="n">
        <x:v>-1.7524131173367117</x:v>
      </x:c>
      <x:c r="I137" s="122" t="n">
        <x:v>-0.09197853870500562</x:v>
      </x:c>
      <x:c r="J137" s="36" t="str">
        <x:v>Leitura real — sequência serpentina</x:v>
      </x:c>
    </x:row>
    <x:row r="138">
      <x:c r="A138" s="40" t="n">
        <x:v>126</x:v>
      </x:c>
      <x:c r="B138" s="41" t="n">
        <x:v>0.7</x:v>
      </x:c>
      <x:c r="C138" s="41" t="n">
        <x:v>-0.25</x:v>
      </x:c>
      <x:c r="D138" s="126" t="n">
        <x:v>24.099622461591537</x:v>
      </x:c>
      <x:c r="E138" s="126" t="n">
        <x:v>17.500377538408465</x:v>
      </x:c>
      <x:c r="F138" s="127" t="n">
        <x:v>16.8</x:v>
      </x:c>
      <x:c r="G138" s="123" t="n">
        <x:v>24.8</x:v>
      </x:c>
      <x:c r="H138" s="123" t="n">
        <x:v>-0.7003775384084641</x:v>
      </x:c>
      <x:c r="I138" s="122" t="n">
        <x:v>-0.04002071023161243</x:v>
      </x:c>
      <x:c r="J138" s="36" t="str">
        <x:v>Leitura real — sequência serpentina</x:v>
      </x:c>
    </x:row>
    <x:row r="139">
      <x:c r="A139" s="40" t="n">
        <x:v>127</x:v>
      </x:c>
      <x:c r="B139" s="41" t="n">
        <x:v>0.95</x:v>
      </x:c>
      <x:c r="C139" s="41" t="n">
        <x:v>-0.25</x:v>
      </x:c>
      <x:c r="D139" s="126" t="n">
        <x:v>24.916820257249334</x:v>
      </x:c>
      <x:c r="E139" s="126" t="n">
        <x:v>16.683179742750667</x:v>
      </x:c>
      <x:c r="F139" s="127" t="n">
        <x:v>16.7</x:v>
      </x:c>
      <x:c r="G139" s="123" t="n">
        <x:v>24.900000000000002</x:v>
      </x:c>
      <x:c r="H139" s="123" t="n">
        <x:v>0.016820257249332116</x:v>
      </x:c>
      <x:c r="I139" s="122" t="n">
        <x:v>0.0010082165096039928</x:v>
      </x:c>
      <x:c r="J139" s="36" t="str">
        <x:v>Leitura real — sequência serpentina</x:v>
      </x:c>
    </x:row>
    <x:row r="140">
      <x:c r="A140" s="40" t="n">
        <x:v>128</x:v>
      </x:c>
      <x:c r="B140" s="41" t="n">
        <x:v>1.2</x:v>
      </x:c>
      <x:c r="C140" s="41" t="n">
        <x:v>-0.25</x:v>
      </x:c>
      <x:c r="D140" s="126" t="n">
        <x:v>25.17232473932218</x:v>
      </x:c>
      <x:c r="E140" s="126" t="n">
        <x:v>16.427675260677823</x:v>
      </x:c>
      <x:c r="F140" s="127" t="n">
        <x:v>18</x:v>
      </x:c>
      <x:c r="G140" s="123" t="n">
        <x:v>23.6</x:v>
      </x:c>
      <x:c r="H140" s="123" t="n">
        <x:v>1.5723247393221769</x:v>
      </x:c>
      <x:c r="I140" s="122" t="n">
        <x:v>0.09571194428744151</x:v>
      </x:c>
      <x:c r="J140" s="36" t="str">
        <x:v>Leitura real — sequência serpentina</x:v>
      </x:c>
    </x:row>
    <x:row r="141">
      <x:c r="A141" s="40" t="n">
        <x:v>129</x:v>
      </x:c>
      <x:c r="B141" s="41" t="n">
        <x:v>1.45</x:v>
      </x:c>
      <x:c r="C141" s="41" t="n">
        <x:v>-0.25</x:v>
      </x:c>
      <x:c r="D141" s="126" t="n">
        <x:v>24.916820257249334</x:v>
      </x:c>
      <x:c r="E141" s="126" t="n">
        <x:v>16.683179742750667</x:v>
      </x:c>
      <x:c r="F141" s="127" t="n">
        <x:v>17.1</x:v>
      </x:c>
      <x:c r="G141" s="123" t="n">
        <x:v>24.5</x:v>
      </x:c>
      <x:c r="H141" s="123" t="n">
        <x:v>0.41682025724933425</x:v>
      </x:c>
      <x:c r="I141" s="122" t="n">
        <x:v>0.024984461216420985</x:v>
      </x:c>
      <x:c r="J141" s="36" t="str">
        <x:v>Leitura real — sequência serpentina</x:v>
      </x:c>
    </x:row>
    <x:row r="142">
      <x:c r="A142" s="40" t="n">
        <x:v>130</x:v>
      </x:c>
      <x:c r="B142" s="41" t="n">
        <x:v>1.7</x:v>
      </x:c>
      <x:c r="C142" s="41" t="n">
        <x:v>-0.25</x:v>
      </x:c>
      <x:c r="D142" s="126" t="n">
        <x:v>24.099622461591537</x:v>
      </x:c>
      <x:c r="E142" s="126" t="n">
        <x:v>17.500377538408465</x:v>
      </x:c>
      <x:c r="F142" s="127" t="n">
        <x:v>19</x:v>
      </x:c>
      <x:c r="G142" s="123" t="n">
        <x:v>22.6</x:v>
      </x:c>
      <x:c r="H142" s="123" t="n">
        <x:v>1.4996224615915352</x:v>
      </x:c>
      <x:c r="I142" s="122" t="n">
        <x:v>0.0856908634285335</x:v>
      </x:c>
      <x:c r="J142" s="36" t="str">
        <x:v>Leitura real — sequência serpentina</x:v>
      </x:c>
    </x:row>
    <x:row r="143">
      <x:c r="A143" s="40" t="n">
        <x:v>131</x:v>
      </x:c>
      <x:c r="B143" s="41" t="n">
        <x:v>1.95</x:v>
      </x:c>
      <x:c r="C143" s="41" t="n">
        <x:v>-0.25</x:v>
      </x:c>
      <x:c r="D143" s="126" t="n">
        <x:v>22.54758688266329</x:v>
      </x:c>
      <x:c r="E143" s="126" t="n">
        <x:v>19.052413117336712</x:v>
      </x:c>
      <x:c r="F143" s="127" t="n">
        <x:v>20</x:v>
      </x:c>
      <x:c r="G143" s="123" t="n">
        <x:v>21.6</x:v>
      </x:c>
      <x:c r="H143" s="123" t="n">
        <x:v>0.9475868826632876</x:v>
      </x:c>
      <x:c r="I143" s="122" t="n">
        <x:v>0.04973579340461773</x:v>
      </x:c>
      <x:c r="J143" s="36" t="str">
        <x:v>Leitura real — sequência serpentina</x:v>
      </x:c>
    </x:row>
    <x:row r="144">
      <x:c r="A144" s="40" t="n">
        <x:v>132</x:v>
      </x:c>
      <x:c r="B144" s="41" t="n">
        <x:v>2.2</x:v>
      </x:c>
      <x:c r="C144" s="41" t="n">
        <x:v>-0.25</x:v>
      </x:c>
      <x:c r="D144" s="126" t="n">
        <x:v>19.947999833523657</x:v>
      </x:c>
      <x:c r="E144" s="126" t="n">
        <x:v>21.652000166476345</x:v>
      </x:c>
      <x:c r="F144" s="127" t="n">
        <x:v>23.1</x:v>
      </x:c>
      <x:c r="G144" s="123" t="n">
        <x:v>18.5</x:v>
      </x:c>
      <x:c r="H144" s="123" t="n">
        <x:v>1.4479998335236566</x:v>
      </x:c>
      <x:c r="I144" s="122" t="n">
        <x:v>0.06687603096205336</x:v>
      </x:c>
      <x:c r="J144" s="36" t="str">
        <x:v>Leitura real — sequência serpentina</x:v>
      </x:c>
    </x:row>
    <x:row r="145">
      <x:c r="A145" s="40" t="n">
        <x:v>133</x:v>
      </x:c>
      <x:c r="B145" s="41" t="n">
        <x:v>2.45</x:v>
      </x:c>
      <x:c r="C145" s="41" t="n">
        <x:v>-0.25</x:v>
      </x:c>
      <x:c r="D145" s="126" t="n">
        <x:v>16.307555756580044</x:v>
      </x:c>
      <x:c r="E145" s="126" t="n">
        <x:v>25.292444243419958</x:v>
      </x:c>
      <x:c r="F145" s="127" t="n">
        <x:v>24.8</x:v>
      </x:c>
      <x:c r="G145" s="123" t="n">
        <x:v>16.8</x:v>
      </x:c>
      <x:c r="H145" s="123" t="n">
        <x:v>-0.49244424341995696</x:v>
      </x:c>
      <x:c r="I145" s="122" t="n">
        <x:v>-0.01947001399629735</x:v>
      </x:c>
      <x:c r="J145" s="36" t="str">
        <x:v>Leitura real — sequência serpentina</x:v>
      </x:c>
    </x:row>
    <x:row r="146">
      <x:c r="A146" s="40" t="n">
        <x:v>134</x:v>
      </x:c>
      <x:c r="B146" s="41" t="n">
        <x:v>2.7</x:v>
      </x:c>
      <x:c r="C146" s="41" t="n">
        <x:v>-0.25</x:v>
      </x:c>
      <x:c r="D146" s="126" t="n">
        <x:v>12.90619439997901</x:v>
      </x:c>
      <x:c r="E146" s="126" t="n">
        <x:v>28.693805600020994</x:v>
      </x:c>
      <x:c r="F146" s="127" t="n">
        <x:v>28.5</x:v>
      </x:c>
      <x:c r="G146" s="123" t="n">
        <x:v>13.100000000000001</x:v>
      </x:c>
      <x:c r="H146" s="123" t="n">
        <x:v>-0.193805600020994</x:v>
      </x:c>
      <x:c r="I146" s="122" t="n">
        <x:v>-0.006754266154952002</x:v>
      </x:c>
      <x:c r="J146" s="36" t="str">
        <x:v>Leitura real — sequência serpentina</x:v>
      </x:c>
    </x:row>
    <x:row r="147">
      <x:c r="A147" s="40" t="n">
        <x:v>135</x:v>
      </x:c>
      <x:c r="B147" s="41" t="n">
        <x:v>2.95</x:v>
      </x:c>
      <x:c r="C147" s="41" t="n">
        <x:v>-0.25</x:v>
      </x:c>
      <x:c r="D147" s="126" t="n">
        <x:v>10.52254290097433</x:v>
      </x:c>
      <x:c r="E147" s="126" t="n">
        <x:v>31.077457099025672</x:v>
      </x:c>
      <x:c r="F147" s="127" t="n">
        <x:v>33.3</x:v>
      </x:c>
      <x:c r="G147" s="123" t="n">
        <x:v>8.300000000000004</x:v>
      </x:c>
      <x:c r="H147" s="123" t="n">
        <x:v>2.222542900974325</x:v>
      </x:c>
      <x:c r="I147" s="122" t="n">
        <x:v>0.07151624065934292</x:v>
      </x:c>
      <x:c r="J147" s="36" t="str">
        <x:v>Leitura real — sequência serpentina</x:v>
      </x:c>
    </x:row>
    <x:row r="148">
      <x:c r="A148" s="40" t="n">
        <x:v>136</x:v>
      </x:c>
      <x:c r="B148" s="41" t="n">
        <x:v>3.2</x:v>
      </x:c>
      <x:c r="C148" s="41" t="n">
        <x:v>-0.25</x:v>
      </x:c>
      <x:c r="D148" s="126" t="n">
        <x:v>8.889171962677496</x:v>
      </x:c>
      <x:c r="E148" s="126" t="n">
        <x:v>32.71082803732251</x:v>
      </x:c>
      <x:c r="F148" s="127" t="n">
        <x:v>34</x:v>
      </x:c>
      <x:c r="G148" s="123" t="n">
        <x:v>7.600000000000001</x:v>
      </x:c>
      <x:c r="H148" s="123" t="n">
        <x:v>1.289171962677493</x:v>
      </x:c>
      <x:c r="I148" s="122" t="n">
        <x:v>0.039411168717788776</x:v>
      </x:c>
      <x:c r="J148" s="36" t="str">
        <x:v>Leitura real — sequência serpentina</x:v>
      </x:c>
    </x:row>
    <x:row r="149">
      <x:c r="A149" s="40" t="n">
        <x:v>137</x:v>
      </x:c>
      <x:c r="B149" s="41" t="n">
        <x:v>-0.8</x:v>
      </x:c>
      <x:c r="C149" s="41" t="n">
        <x:v>0</x:v>
      </x:c>
      <x:c r="D149" s="126" t="n">
        <x:v>9.023671265049046</x:v>
      </x:c>
      <x:c r="E149" s="126" t="n">
        <x:v>32.576328734950955</x:v>
      </x:c>
      <x:c r="F149" s="127" t="n">
        <x:v>34.3</x:v>
      </x:c>
      <x:c r="G149" s="123" t="n">
        <x:v>7.300000000000004</x:v>
      </x:c>
      <x:c r="H149" s="123" t="n">
        <x:v>1.7236712650490418</x:v>
      </x:c>
      <x:c r="I149" s="122" t="n">
        <x:v>0.0529117715833867</x:v>
      </x:c>
      <x:c r="J149" s="36" t="str">
        <x:v>Leitura real — sequência serpentina</x:v>
      </x:c>
    </x:row>
    <x:row r="150">
      <x:c r="A150" s="40" t="n">
        <x:v>138</x:v>
      </x:c>
      <x:c r="B150" s="41" t="n">
        <x:v>-0.55</x:v>
      </x:c>
      <x:c r="C150" s="41" t="n">
        <x:v>0</x:v>
      </x:c>
      <x:c r="D150" s="126" t="n">
        <x:v>10.784710618455378</x:v>
      </x:c>
      <x:c r="E150" s="126" t="n">
        <x:v>30.815289381544623</x:v>
      </x:c>
      <x:c r="F150" s="127" t="n">
        <x:v>34</x:v>
      </x:c>
      <x:c r="G150" s="123" t="n">
        <x:v>7.600000000000001</x:v>
      </x:c>
      <x:c r="H150" s="123" t="n">
        <x:v>3.1847106184553766</x:v>
      </x:c>
      <x:c r="I150" s="122" t="n">
        <x:v>0.1033483923848111</x:v>
      </x:c>
      <x:c r="J150" s="36" t="str">
        <x:v>Leitura real — sequência serpentina</x:v>
      </x:c>
    </x:row>
    <x:row r="151">
      <x:c r="A151" s="40" t="n">
        <x:v>139</x:v>
      </x:c>
      <x:c r="B151" s="41" t="n">
        <x:v>-0.30000000000000004</x:v>
      </x:c>
      <x:c r="C151" s="41" t="n">
        <x:v>0</x:v>
      </x:c>
      <x:c r="D151" s="126" t="n">
        <x:v>13.530971960231797</x:v>
      </x:c>
      <x:c r="E151" s="126" t="n">
        <x:v>28.069028039768206</x:v>
      </x:c>
      <x:c r="F151" s="127" t="n">
        <x:v>26.9</x:v>
      </x:c>
      <x:c r="G151" s="123" t="n">
        <x:v>14.700000000000003</x:v>
      </x:c>
      <x:c r="H151" s="123" t="n">
        <x:v>-1.1690280397682073</x:v>
      </x:c>
      <x:c r="I151" s="122" t="n">
        <x:v>-0.04164832633719729</x:v>
      </x:c>
      <x:c r="J151" s="36" t="str">
        <x:v>Leitura real — sequência serpentina</x:v>
      </x:c>
    </x:row>
    <x:row r="152">
      <x:c r="A152" s="40" t="n">
        <x:v>140</x:v>
      </x:c>
      <x:c r="B152" s="41" t="n">
        <x:v>-0.050000000000000044</x:v>
      </x:c>
      <x:c r="C152" s="41" t="n">
        <x:v>0</x:v>
      </x:c>
      <x:c r="D152" s="126" t="n">
        <x:v>18.02063855928986</x:v>
      </x:c>
      <x:c r="E152" s="126" t="n">
        <x:v>23.57936144071014</x:v>
      </x:c>
      <x:c r="F152" s="127" t="n">
        <x:v>20.8</x:v>
      </x:c>
      <x:c r="G152" s="123" t="n">
        <x:v>20.8</x:v>
      </x:c>
      <x:c r="H152" s="123" t="n">
        <x:v>-2.77936144071014</x:v>
      </x:c>
      <x:c r="I152" s="122" t="n">
        <x:v>-0.11787263398539405</x:v>
      </x:c>
      <x:c r="J152" s="36" t="str">
        <x:v>Leitura real — sequência serpentina</x:v>
      </x:c>
    </x:row>
    <x:row r="153">
      <x:c r="A153" s="40" t="n">
        <x:v>141</x:v>
      </x:c>
      <x:c r="B153" s="41" t="n">
        <x:v>0.19999999999999996</x:v>
      </x:c>
      <x:c r="C153" s="41" t="n">
        <x:v>0</x:v>
      </x:c>
      <x:c r="D153" s="126" t="n">
        <x:v>23.080156278973405</x:v>
      </x:c>
      <x:c r="E153" s="126" t="n">
        <x:v>18.519843721026596</x:v>
      </x:c>
      <x:c r="F153" s="127" t="n">
        <x:v>20.1</x:v>
      </x:c>
      <x:c r="G153" s="123" t="n">
        <x:v>21.5</x:v>
      </x:c>
      <x:c r="H153" s="123" t="n">
        <x:v>1.580156278973405</x:v>
      </x:c>
      <x:c r="I153" s="122" t="n">
        <x:v>0.08532233331857798</x:v>
      </x:c>
      <x:c r="J153" s="36" t="str">
        <x:v>Leitura real — sequência serpentina</x:v>
      </x:c>
    </x:row>
    <x:row r="154">
      <x:c r="A154" s="40" t="n">
        <x:v>142</x:v>
      </x:c>
      <x:c r="B154" s="41" t="n">
        <x:v>0.44999999999999996</x:v>
      </x:c>
      <x:c r="C154" s="41" t="n">
        <x:v>0</x:v>
      </x:c>
      <x:c r="D154" s="126" t="n">
        <x:v>26.253034530192103</x:v>
      </x:c>
      <x:c r="E154" s="126" t="n">
        <x:v>15.346965469807898</x:v>
      </x:c>
      <x:c r="F154" s="127" t="n">
        <x:v>14.4</x:v>
      </x:c>
      <x:c r="G154" s="123" t="n">
        <x:v>27.200000000000003</x:v>
      </x:c>
      <x:c r="H154" s="123" t="n">
        <x:v>-0.946965469807898</x:v>
      </x:c>
      <x:c r="I154" s="122" t="n">
        <x:v>-0.061703759721807167</x:v>
      </x:c>
      <x:c r="J154" s="36" t="str">
        <x:v>Leitura real — sequência serpentina</x:v>
      </x:c>
    </x:row>
    <x:row r="155">
      <x:c r="A155" s="40" t="n">
        <x:v>143</x:v>
      </x:c>
      <x:c r="B155" s="41" t="n">
        <x:v>0.7</x:v>
      </x:c>
      <x:c r="C155" s="41" t="n">
        <x:v>0</x:v>
      </x:c>
      <x:c r="D155" s="126" t="n">
        <x:v>27.987641340341156</x:v>
      </x:c>
      <x:c r="E155" s="126" t="n">
        <x:v>13.612358659658845</x:v>
      </x:c>
      <x:c r="F155" s="127" t="n">
        <x:v>13.8</x:v>
      </x:c>
      <x:c r="G155" s="123" t="n">
        <x:v>27.8</x:v>
      </x:c>
      <x:c r="H155" s="123" t="n">
        <x:v>0.18764134034115543</x:v>
      </x:c>
      <x:c r="I155" s="122" t="n">
        <x:v>0.013784630939621314</x:v>
      </x:c>
      <x:c r="J155" s="36" t="str">
        <x:v>Leitura real — sequência serpentina</x:v>
      </x:c>
    </x:row>
    <x:row r="156">
      <x:c r="A156" s="40" t="n">
        <x:v>144</x:v>
      </x:c>
      <x:c r="B156" s="41" t="n">
        <x:v>0.95</x:v>
      </x:c>
      <x:c r="C156" s="41" t="n">
        <x:v>0</x:v>
      </x:c>
      <x:c r="D156" s="126" t="n">
        <x:v>28.869361948398392</x:v>
      </x:c>
      <x:c r="E156" s="126" t="n">
        <x:v>12.730638051601609</x:v>
      </x:c>
      <x:c r="F156" s="127" t="n">
        <x:v>13</x:v>
      </x:c>
      <x:c r="G156" s="123" t="n">
        <x:v>28.6</x:v>
      </x:c>
      <x:c r="H156" s="123" t="n">
        <x:v>0.2693619483983909</x:v>
      </x:c>
      <x:c r="I156" s="122" t="n">
        <x:v>0.021158558377559335</x:v>
      </x:c>
      <x:c r="J156" s="36" t="str">
        <x:v>Leitura real — sequência serpentina</x:v>
      </x:c>
    </x:row>
    <x:row r="157">
      <x:c r="A157" s="40" t="n">
        <x:v>145</x:v>
      </x:c>
      <x:c r="B157" s="41" t="n">
        <x:v>1.2</x:v>
      </x:c>
      <x:c r="C157" s="41" t="n">
        <x:v>0</x:v>
      </x:c>
      <x:c r="D157" s="126" t="n">
        <x:v>29.141596047171646</x:v>
      </x:c>
      <x:c r="E157" s="126" t="n">
        <x:v>12.458403952828355</x:v>
      </x:c>
      <x:c r="F157" s="127" t="n">
        <x:v>11.9</x:v>
      </x:c>
      <x:c r="G157" s="123" t="n">
        <x:v>29.700000000000003</x:v>
      </x:c>
      <x:c r="H157" s="123" t="n">
        <x:v>-0.5584039528283551</x:v>
      </x:c>
      <x:c r="I157" s="122" t="n">
        <x:v>-0.044821467897706434</x:v>
      </x:c>
      <x:c r="J157" s="36" t="str">
        <x:v>Leitura real — sequência serpentina</x:v>
      </x:c>
    </x:row>
    <x:row r="158">
      <x:c r="A158" s="40" t="n">
        <x:v>146</x:v>
      </x:c>
      <x:c r="B158" s="41" t="n">
        <x:v>1.45</x:v>
      </x:c>
      <x:c r="C158" s="41" t="n">
        <x:v>0</x:v>
      </x:c>
      <x:c r="D158" s="126" t="n">
        <x:v>28.869361948398392</x:v>
      </x:c>
      <x:c r="E158" s="126" t="n">
        <x:v>12.730638051601609</x:v>
      </x:c>
      <x:c r="F158" s="127" t="n">
        <x:v>13.8</x:v>
      </x:c>
      <x:c r="G158" s="123" t="n">
        <x:v>27.8</x:v>
      </x:c>
      <x:c r="H158" s="123" t="n">
        <x:v>1.0693619483983916</x:v>
      </x:c>
      <x:c r="I158" s="122" t="n">
        <x:v>0.08399908504694766</x:v>
      </x:c>
      <x:c r="J158" s="36" t="str">
        <x:v>Leitura real — sequência serpentina</x:v>
      </x:c>
    </x:row>
    <x:row r="159">
      <x:c r="A159" s="40" t="n">
        <x:v>147</x:v>
      </x:c>
      <x:c r="B159" s="41" t="n">
        <x:v>1.7</x:v>
      </x:c>
      <x:c r="C159" s="41" t="n">
        <x:v>0</x:v>
      </x:c>
      <x:c r="D159" s="126" t="n">
        <x:v>27.987641340341156</x:v>
      </x:c>
      <x:c r="E159" s="126" t="n">
        <x:v>13.612358659658845</x:v>
      </x:c>
      <x:c r="F159" s="127" t="n">
        <x:v>14.8</x:v>
      </x:c>
      <x:c r="G159" s="123" t="n">
        <x:v>26.8</x:v>
      </x:c>
      <x:c r="H159" s="123" t="n">
        <x:v>1.1876413403411554</x:v>
      </x:c>
      <x:c r="I159" s="122" t="n">
        <x:v>0.0872472853555359</x:v>
      </x:c>
      <x:c r="J159" s="36" t="str">
        <x:v>Leitura real — sequência serpentina</x:v>
      </x:c>
    </x:row>
    <x:row r="160">
      <x:c r="A160" s="40" t="n">
        <x:v>148</x:v>
      </x:c>
      <x:c r="B160" s="41" t="n">
        <x:v>1.95</x:v>
      </x:c>
      <x:c r="C160" s="41" t="n">
        <x:v>0</x:v>
      </x:c>
      <x:c r="D160" s="126" t="n">
        <x:v>26.253034530192103</x:v>
      </x:c>
      <x:c r="E160" s="126" t="n">
        <x:v>15.346965469807898</x:v>
      </x:c>
      <x:c r="F160" s="127" t="n">
        <x:v>15.8</x:v>
      </x:c>
      <x:c r="G160" s="123" t="n">
        <x:v>25.8</x:v>
      </x:c>
      <x:c r="H160" s="123" t="n">
        <x:v>0.4530345301921024</x:v>
      </x:c>
      <x:c r="I160" s="122" t="n">
        <x:v>0.029519485860794937</x:v>
      </x:c>
      <x:c r="J160" s="36" t="str">
        <x:v>Leitura real — sequência serpentina</x:v>
      </x:c>
    </x:row>
    <x:row r="161">
      <x:c r="A161" s="40" t="n">
        <x:v>149</x:v>
      </x:c>
      <x:c r="B161" s="41" t="n">
        <x:v>2.2</x:v>
      </x:c>
      <x:c r="C161" s="41" t="n">
        <x:v>0</x:v>
      </x:c>
      <x:c r="D161" s="126" t="n">
        <x:v>23.0801562789734</x:v>
      </x:c>
      <x:c r="E161" s="126" t="n">
        <x:v>18.5198437210266</x:v>
      </x:c>
      <x:c r="F161" s="127" t="n">
        <x:v>18.6</x:v>
      </x:c>
      <x:c r="G161" s="123" t="n">
        <x:v>23</x:v>
      </x:c>
      <x:c r="H161" s="123" t="n">
        <x:v>0.08015627897340138</x:v>
      </x:c>
      <x:c r="I161" s="122" t="n">
        <x:v>0.004328129339579444</x:v>
      </x:c>
      <x:c r="J161" s="36" t="str">
        <x:v>Leitura real — sequência serpentina</x:v>
      </x:c>
    </x:row>
    <x:row r="162">
      <x:c r="A162" s="40" t="n">
        <x:v>150</x:v>
      </x:c>
      <x:c r="B162" s="41" t="n">
        <x:v>2.45</x:v>
      </x:c>
      <x:c r="C162" s="41" t="n">
        <x:v>0</x:v>
      </x:c>
      <x:c r="D162" s="126" t="n">
        <x:v>18.020638559289857</x:v>
      </x:c>
      <x:c r="E162" s="126" t="n">
        <x:v>23.579361440710144</x:v>
      </x:c>
      <x:c r="F162" s="127" t="n">
        <x:v>23.9</x:v>
      </x:c>
      <x:c r="G162" s="123" t="n">
        <x:v>17.700000000000003</x:v>
      </x:c>
      <x:c r="H162" s="123" t="n">
        <x:v>0.3206385592898542</x:v>
      </x:c>
      <x:c r="I162" s="122" t="n">
        <x:v>0.013598271526397936</x:v>
      </x:c>
      <x:c r="J162" s="36" t="str">
        <x:v>Leitura real — sequência serpentina</x:v>
      </x:c>
    </x:row>
    <x:row r="163">
      <x:c r="A163" s="40" t="n">
        <x:v>151</x:v>
      </x:c>
      <x:c r="B163" s="41" t="n">
        <x:v>2.7</x:v>
      </x:c>
      <x:c r="C163" s="41" t="n">
        <x:v>0</x:v>
      </x:c>
      <x:c r="D163" s="126" t="n">
        <x:v>13.530971960231794</x:v>
      </x:c>
      <x:c r="E163" s="126" t="n">
        <x:v>28.069028039768206</x:v>
      </x:c>
      <x:c r="F163" s="127" t="n">
        <x:v>26.6</x:v>
      </x:c>
      <x:c r="G163" s="123" t="n">
        <x:v>15</x:v>
      </x:c>
      <x:c r="H163" s="123" t="n">
        <x:v>-1.4690280397682045</x:v>
      </x:c>
      <x:c r="I163" s="122" t="n">
        <x:v>-0.05233626321819499</x:v>
      </x:c>
      <x:c r="J163" s="36" t="str">
        <x:v>Leitura real — sequência serpentina</x:v>
      </x:c>
    </x:row>
    <x:row r="164">
      <x:c r="A164" s="40" t="n">
        <x:v>152</x:v>
      </x:c>
      <x:c r="B164" s="41" t="n">
        <x:v>2.95</x:v>
      </x:c>
      <x:c r="C164" s="41" t="n">
        <x:v>0</x:v>
      </x:c>
      <x:c r="D164" s="126" t="n">
        <x:v>10.784710618455376</x:v>
      </x:c>
      <x:c r="E164" s="126" t="n">
        <x:v>30.815289381544623</x:v>
      </x:c>
      <x:c r="F164" s="127" t="n">
        <x:v>30.5</x:v>
      </x:c>
      <x:c r="G164" s="123" t="n">
        <x:v>11.100000000000001</x:v>
      </x:c>
      <x:c r="H164" s="123" t="n">
        <x:v>-0.3152893815446234</x:v>
      </x:c>
      <x:c r="I164" s="122" t="n">
        <x:v>-0.010231589184213574</x:v>
      </x:c>
      <x:c r="J164" s="36" t="str">
        <x:v>Leitura real — sequência serpentina</x:v>
      </x:c>
    </x:row>
    <x:row r="165">
      <x:c r="A165" s="40" t="n">
        <x:v>153</x:v>
      </x:c>
      <x:c r="B165" s="41" t="n">
        <x:v>3.2</x:v>
      </x:c>
      <x:c r="C165" s="41" t="n">
        <x:v>0</x:v>
      </x:c>
      <x:c r="D165" s="126" t="n">
        <x:v>9.023671265049042</x:v>
      </x:c>
      <x:c r="E165" s="126" t="n">
        <x:v>32.57632873495096</x:v>
      </x:c>
      <x:c r="F165" s="127" t="n">
        <x:v>32.5</x:v>
      </x:c>
      <x:c r="G165" s="123" t="n">
        <x:v>9.100000000000001</x:v>
      </x:c>
      <x:c r="H165" s="123" t="n">
        <x:v>-0.07632873495096248</x:v>
      </x:c>
      <x:c r="I165" s="122" t="n">
        <x:v>-0.0023430735725929056</x:v>
      </x:c>
      <x:c r="J165" s="36" t="str">
        <x:v>Leitura real — sequência serpentina</x:v>
      </x:c>
    </x:row>
    <x:row r="166">
      <x:c r="A166" s="40" t="n">
        <x:v>154</x:v>
      </x:c>
      <x:c r="B166" s="41" t="n">
        <x:v>-0.8</x:v>
      </x:c>
      <x:c r="C166" s="41" t="n">
        <x:v>0.25</x:v>
      </x:c>
      <x:c r="D166" s="126" t="n">
        <x:v>8.889171962677498</x:v>
      </x:c>
      <x:c r="E166" s="126" t="n">
        <x:v>32.7108280373225</x:v>
      </x:c>
      <x:c r="F166" s="127" t="n">
        <x:v>34.9</x:v>
      </x:c>
      <x:c r="G166" s="123" t="n">
        <x:v>6.700000000000003</x:v>
      </x:c>
      <x:c r="H166" s="123" t="n">
        <x:v>2.1891719626774986</x:v>
      </x:c>
      <x:c r="I166" s="122" t="n">
        <x:v>0.06692499377208337</x:v>
      </x:c>
      <x:c r="J166" s="36" t="str">
        <x:v>Leitura real — sequência serpentina</x:v>
      </x:c>
    </x:row>
    <x:row r="167">
      <x:c r="A167" s="40" t="n">
        <x:v>155</x:v>
      </x:c>
      <x:c r="B167" s="41" t="n">
        <x:v>-0.55</x:v>
      </x:c>
      <x:c r="C167" s="41" t="n">
        <x:v>0.25</x:v>
      </x:c>
      <x:c r="D167" s="126" t="n">
        <x:v>10.522542900974331</x:v>
      </x:c>
      <x:c r="E167" s="126" t="n">
        <x:v>31.077457099025672</x:v>
      </x:c>
      <x:c r="F167" s="127" t="n">
        <x:v>29.6</x:v>
      </x:c>
      <x:c r="G167" s="123" t="n">
        <x:v>12</x:v>
      </x:c>
      <x:c r="H167" s="123" t="n">
        <x:v>-1.4774570990256706</x:v>
      </x:c>
      <x:c r="I167" s="122" t="n">
        <x:v>-0.047541119413917275</x:v>
      </x:c>
      <x:c r="J167" s="36" t="str">
        <x:v>Leitura real — sequência serpentina</x:v>
      </x:c>
    </x:row>
    <x:row r="168">
      <x:c r="A168" s="40" t="n">
        <x:v>156</x:v>
      </x:c>
      <x:c r="B168" s="41" t="n">
        <x:v>-0.30000000000000004</x:v>
      </x:c>
      <x:c r="C168" s="41" t="n">
        <x:v>0.25</x:v>
      </x:c>
      <x:c r="D168" s="126" t="n">
        <x:v>12.906194399979011</x:v>
      </x:c>
      <x:c r="E168" s="126" t="n">
        <x:v>28.69380560002099</x:v>
      </x:c>
      <x:c r="F168" s="127" t="n">
        <x:v>29.7</x:v>
      </x:c>
      <x:c r="G168" s="123" t="n">
        <x:v>11.900000000000002</x:v>
      </x:c>
      <x:c r="H168" s="123" t="n">
        <x:v>1.0061943999790088</x:v>
      </x:c>
      <x:c r="I168" s="122" t="n">
        <x:v>0.03506660684905012</x:v>
      </x:c>
      <x:c r="J168" s="36" t="str">
        <x:v>Leitura real — sequência serpentina</x:v>
      </x:c>
    </x:row>
    <x:row r="169">
      <x:c r="A169" s="40" t="n">
        <x:v>157</x:v>
      </x:c>
      <x:c r="B169" s="41" t="n">
        <x:v>-0.050000000000000044</x:v>
      </x:c>
      <x:c r="C169" s="41" t="n">
        <x:v>0.25</x:v>
      </x:c>
      <x:c r="D169" s="126" t="n">
        <x:v>16.307555756580047</x:v>
      </x:c>
      <x:c r="E169" s="126" t="n">
        <x:v>25.292444243419954</x:v>
      </x:c>
      <x:c r="F169" s="127" t="n">
        <x:v>26.2</x:v>
      </x:c>
      <x:c r="G169" s="123" t="n">
        <x:v>15.400000000000002</x:v>
      </x:c>
      <x:c r="H169" s="123" t="n">
        <x:v>0.9075557565800452</x:v>
      </x:c>
      <x:c r="I169" s="122" t="n">
        <x:v>0.03588248521358917</x:v>
      </x:c>
      <x:c r="J169" s="36" t="str">
        <x:v>Leitura real — sequência serpentina</x:v>
      </x:c>
    </x:row>
    <x:row r="170">
      <x:c r="A170" s="40" t="n">
        <x:v>158</x:v>
      </x:c>
      <x:c r="B170" s="41" t="n">
        <x:v>0.19999999999999996</x:v>
      </x:c>
      <x:c r="C170" s="41" t="n">
        <x:v>0.25</x:v>
      </x:c>
      <x:c r="D170" s="126" t="n">
        <x:v>19.947999833523664</x:v>
      </x:c>
      <x:c r="E170" s="126" t="n">
        <x:v>21.652000166476338</x:v>
      </x:c>
      <x:c r="F170" s="127" t="n">
        <x:v>20.6</x:v>
      </x:c>
      <x:c r="G170" s="123" t="n">
        <x:v>21</x:v>
      </x:c>
      <x:c r="H170" s="123" t="n">
        <x:v>-1.0520001664763363</x:v>
      </x:c>
      <x:c r="I170" s="122" t="n">
        <x:v>-0.048586742951588456</x:v>
      </x:c>
      <x:c r="J170" s="36" t="str">
        <x:v>Leitura real — sequência serpentina</x:v>
      </x:c>
    </x:row>
    <x:row r="171">
      <x:c r="A171" s="40" t="n">
        <x:v>159</x:v>
      </x:c>
      <x:c r="B171" s="41" t="n">
        <x:v>0.44999999999999996</x:v>
      </x:c>
      <x:c r="C171" s="41" t="n">
        <x:v>0.25</x:v>
      </x:c>
      <x:c r="D171" s="126" t="n">
        <x:v>22.54758688266329</x:v>
      </x:c>
      <x:c r="E171" s="126" t="n">
        <x:v>19.052413117336712</x:v>
      </x:c>
      <x:c r="F171" s="127" t="n">
        <x:v>21.6</x:v>
      </x:c>
      <x:c r="G171" s="123" t="n">
        <x:v>20</x:v>
      </x:c>
      <x:c r="H171" s="123" t="n">
        <x:v>2.547586882663289</x:v>
      </x:c>
      <x:c r="I171" s="122" t="n">
        <x:v>0.13371465687698722</x:v>
      </x:c>
      <x:c r="J171" s="36" t="str">
        <x:v>Leitura real — sequência serpentina</x:v>
      </x:c>
    </x:row>
    <x:row r="172">
      <x:c r="A172" s="40" t="n">
        <x:v>160</x:v>
      </x:c>
      <x:c r="B172" s="41" t="n">
        <x:v>0.7</x:v>
      </x:c>
      <x:c r="C172" s="41" t="n">
        <x:v>0.25</x:v>
      </x:c>
      <x:c r="D172" s="126" t="n">
        <x:v>24.099622461591537</x:v>
      </x:c>
      <x:c r="E172" s="126" t="n">
        <x:v>17.500377538408465</x:v>
      </x:c>
      <x:c r="F172" s="127" t="n">
        <x:v>16.6</x:v>
      </x:c>
      <x:c r="G172" s="123" t="n">
        <x:v>25</x:v>
      </x:c>
      <x:c r="H172" s="123" t="n">
        <x:v>-0.9003775384084634</x:v>
      </x:c>
      <x:c r="I172" s="122" t="n">
        <x:v>-0.05144903510980748</x:v>
      </x:c>
      <x:c r="J172" s="36" t="str">
        <x:v>Leitura real — sequência serpentina</x:v>
      </x:c>
    </x:row>
    <x:row r="173">
      <x:c r="A173" s="40" t="n">
        <x:v>161</x:v>
      </x:c>
      <x:c r="B173" s="41" t="n">
        <x:v>0.95</x:v>
      </x:c>
      <x:c r="C173" s="41" t="n">
        <x:v>0.25</x:v>
      </x:c>
      <x:c r="D173" s="126" t="n">
        <x:v>24.916820257249334</x:v>
      </x:c>
      <x:c r="E173" s="126" t="n">
        <x:v>16.683179742750667</x:v>
      </x:c>
      <x:c r="F173" s="127" t="n">
        <x:v>17.2</x:v>
      </x:c>
      <x:c r="G173" s="123" t="n">
        <x:v>24.400000000000002</x:v>
      </x:c>
      <x:c r="H173" s="123" t="n">
        <x:v>0.5168202572493321</x:v>
      </x:c>
      <x:c r="I173" s="122" t="n">
        <x:v>0.030978522393125072</x:v>
      </x:c>
      <x:c r="J173" s="36" t="str">
        <x:v>Leitura real — sequência serpentina</x:v>
      </x:c>
    </x:row>
    <x:row r="174">
      <x:c r="A174" s="40" t="n">
        <x:v>162</x:v>
      </x:c>
      <x:c r="B174" s="41" t="n">
        <x:v>1.2</x:v>
      </x:c>
      <x:c r="C174" s="41" t="n">
        <x:v>0.25</x:v>
      </x:c>
      <x:c r="D174" s="126" t="n">
        <x:v>25.17232473932218</x:v>
      </x:c>
      <x:c r="E174" s="126" t="n">
        <x:v>16.427675260677823</x:v>
      </x:c>
      <x:c r="F174" s="127" t="n">
        <x:v>18.8</x:v>
      </x:c>
      <x:c r="G174" s="123" t="n">
        <x:v>22.8</x:v>
      </x:c>
      <x:c r="H174" s="123" t="n">
        <x:v>2.3723247393221776</x:v>
      </x:c>
      <x:c r="I174" s="122" t="n">
        <x:v>0.14441025292243895</x:v>
      </x:c>
      <x:c r="J174" s="36" t="str">
        <x:v>Leitura real — sequência serpentina</x:v>
      </x:c>
    </x:row>
    <x:row r="175">
      <x:c r="A175" s="40" t="n">
        <x:v>163</x:v>
      </x:c>
      <x:c r="B175" s="41" t="n">
        <x:v>1.45</x:v>
      </x:c>
      <x:c r="C175" s="41" t="n">
        <x:v>0.25</x:v>
      </x:c>
      <x:c r="D175" s="126" t="n">
        <x:v>24.916820257249334</x:v>
      </x:c>
      <x:c r="E175" s="126" t="n">
        <x:v>16.683179742750667</x:v>
      </x:c>
      <x:c r="F175" s="127" t="n">
        <x:v>17.2</x:v>
      </x:c>
      <x:c r="G175" s="123" t="n">
        <x:v>24.400000000000002</x:v>
      </x:c>
      <x:c r="H175" s="123" t="n">
        <x:v>0.5168202572493321</x:v>
      </x:c>
      <x:c r="I175" s="122" t="n">
        <x:v>0.030978522393125072</x:v>
      </x:c>
      <x:c r="J175" s="36" t="str">
        <x:v>Leitura real — sequência serpentina</x:v>
      </x:c>
    </x:row>
    <x:row r="176">
      <x:c r="A176" s="40" t="n">
        <x:v>164</x:v>
      </x:c>
      <x:c r="B176" s="41" t="n">
        <x:v>1.7</x:v>
      </x:c>
      <x:c r="C176" s="41" t="n">
        <x:v>0.25</x:v>
      </x:c>
      <x:c r="D176" s="126" t="n">
        <x:v>24.099622461591537</x:v>
      </x:c>
      <x:c r="E176" s="126" t="n">
        <x:v>17.500377538408465</x:v>
      </x:c>
      <x:c r="F176" s="127" t="n">
        <x:v>18.1</x:v>
      </x:c>
      <x:c r="G176" s="123" t="n">
        <x:v>23.5</x:v>
      </x:c>
      <x:c r="H176" s="123" t="n">
        <x:v>0.5996224615915366</x:v>
      </x:c>
      <x:c r="I176" s="122" t="n">
        <x:v>0.034263401476655686</x:v>
      </x:c>
      <x:c r="J176" s="36" t="str">
        <x:v>Leitura real — sequência serpentina</x:v>
      </x:c>
    </x:row>
    <x:row r="177">
      <x:c r="A177" s="40" t="n">
        <x:v>165</x:v>
      </x:c>
      <x:c r="B177" s="41" t="n">
        <x:v>1.95</x:v>
      </x:c>
      <x:c r="C177" s="41" t="n">
        <x:v>0.25</x:v>
      </x:c>
      <x:c r="D177" s="126" t="n">
        <x:v>22.54758688266329</x:v>
      </x:c>
      <x:c r="E177" s="126" t="n">
        <x:v>19.052413117336712</x:v>
      </x:c>
      <x:c r="F177" s="127" t="n">
        <x:v>19.5</x:v>
      </x:c>
      <x:c r="G177" s="123" t="n">
        <x:v>22.1</x:v>
      </x:c>
      <x:c r="H177" s="123" t="n">
        <x:v>0.4475868826632876</x:v>
      </x:c>
      <x:c r="I177" s="122" t="n">
        <x:v>0.023492398569502287</x:v>
      </x:c>
      <x:c r="J177" s="36" t="str">
        <x:v>Leitura real — sequência serpentina</x:v>
      </x:c>
    </x:row>
    <x:row r="178">
      <x:c r="A178" s="40" t="n">
        <x:v>166</x:v>
      </x:c>
      <x:c r="B178" s="41" t="n">
        <x:v>2.2</x:v>
      </x:c>
      <x:c r="C178" s="41" t="n">
        <x:v>0.25</x:v>
      </x:c>
      <x:c r="D178" s="126" t="n">
        <x:v>19.947999833523657</x:v>
      </x:c>
      <x:c r="E178" s="126" t="n">
        <x:v>21.652000166476345</x:v>
      </x:c>
      <x:c r="F178" s="127" t="n">
        <x:v>19.1</x:v>
      </x:c>
      <x:c r="G178" s="123" t="n">
        <x:v>22.5</x:v>
      </x:c>
      <x:c r="H178" s="123" t="n">
        <x:v>-2.5520001664763434</x:v>
      </x:c>
      <x:c r="I178" s="122" t="n">
        <x:v>-0.11786440729977404</x:v>
      </x:c>
      <x:c r="J178" s="36" t="str">
        <x:v>Leitura real — sequência serpentina</x:v>
      </x:c>
    </x:row>
    <x:row r="179">
      <x:c r="A179" s="40" t="n">
        <x:v>167</x:v>
      </x:c>
      <x:c r="B179" s="41" t="n">
        <x:v>2.45</x:v>
      </x:c>
      <x:c r="C179" s="41" t="n">
        <x:v>0.25</x:v>
      </x:c>
      <x:c r="D179" s="126" t="n">
        <x:v>16.307555756580044</x:v>
      </x:c>
      <x:c r="E179" s="126" t="n">
        <x:v>25.292444243419958</x:v>
      </x:c>
      <x:c r="F179" s="127" t="n">
        <x:v>24.7</x:v>
      </x:c>
      <x:c r="G179" s="123" t="n">
        <x:v>16.900000000000002</x:v>
      </x:c>
      <x:c r="H179" s="123" t="n">
        <x:v>-0.5924442434199584</x:v>
      </x:c>
      <x:c r="I179" s="122" t="n">
        <x:v>-0.023423763939860724</x:v>
      </x:c>
      <x:c r="J179" s="36" t="str">
        <x:v>Leitura real — sequência serpentina</x:v>
      </x:c>
    </x:row>
    <x:row r="180">
      <x:c r="A180" s="40" t="n">
        <x:v>168</x:v>
      </x:c>
      <x:c r="B180" s="41" t="n">
        <x:v>2.7</x:v>
      </x:c>
      <x:c r="C180" s="41" t="n">
        <x:v>0.25</x:v>
      </x:c>
      <x:c r="D180" s="126" t="n">
        <x:v>12.90619439997901</x:v>
      </x:c>
      <x:c r="E180" s="126" t="n">
        <x:v>28.693805600020994</x:v>
      </x:c>
      <x:c r="F180" s="127" t="n">
        <x:v>26.6</x:v>
      </x:c>
      <x:c r="G180" s="123" t="n">
        <x:v>15</x:v>
      </x:c>
      <x:c r="H180" s="123" t="n">
        <x:v>-2.0938056000209926</x:v>
      </x:c>
      <x:c r="I180" s="122" t="n">
        <x:v>-0.07297064841128849</x:v>
      </x:c>
      <x:c r="J180" s="36" t="str">
        <x:v>Leitura real — sequência serpentina</x:v>
      </x:c>
    </x:row>
    <x:row r="181">
      <x:c r="A181" s="40" t="n">
        <x:v>169</x:v>
      </x:c>
      <x:c r="B181" s="41" t="n">
        <x:v>2.95</x:v>
      </x:c>
      <x:c r="C181" s="41" t="n">
        <x:v>0.25</x:v>
      </x:c>
      <x:c r="D181" s="126" t="n">
        <x:v>10.52254290097433</x:v>
      </x:c>
      <x:c r="E181" s="126" t="n">
        <x:v>31.077457099025672</x:v>
      </x:c>
      <x:c r="F181" s="127" t="n">
        <x:v>32.4</x:v>
      </x:c>
      <x:c r="G181" s="123" t="n">
        <x:v>9.200000000000003</x:v>
      </x:c>
      <x:c r="H181" s="123" t="n">
        <x:v>1.3225429009743266</x:v>
      </x:c>
      <x:c r="I181" s="122" t="n">
        <x:v>0.04255634226314451</x:v>
      </x:c>
      <x:c r="J181" s="36" t="str">
        <x:v>Leitura real — sequência serpentina</x:v>
      </x:c>
    </x:row>
    <x:row r="182">
      <x:c r="A182" s="40" t="n">
        <x:v>170</x:v>
      </x:c>
      <x:c r="B182" s="41" t="n">
        <x:v>3.2</x:v>
      </x:c>
      <x:c r="C182" s="41" t="n">
        <x:v>0.25</x:v>
      </x:c>
      <x:c r="D182" s="126" t="n">
        <x:v>8.889171962677496</x:v>
      </x:c>
      <x:c r="E182" s="126" t="n">
        <x:v>32.71082803732251</x:v>
      </x:c>
      <x:c r="F182" s="127" t="n">
        <x:v>31.3</x:v>
      </x:c>
      <x:c r="G182" s="123" t="n">
        <x:v>10.3</x:v>
      </x:c>
      <x:c r="H182" s="123" t="n">
        <x:v>-1.4108280373225064</x:v>
      </x:c>
      <x:c r="I182" s="122" t="n">
        <x:v>-0.04313030644509443</x:v>
      </x:c>
      <x:c r="J182" s="36" t="str">
        <x:v>Leitura real — sequência serpentina</x:v>
      </x:c>
    </x:row>
    <x:row r="183">
      <x:c r="A183" s="40" t="n">
        <x:v>171</x:v>
      </x:c>
      <x:c r="B183" s="41" t="n">
        <x:v>-0.8</x:v>
      </x:c>
      <x:c r="C183" s="41" t="n">
        <x:v>0.5</x:v>
      </x:c>
      <x:c r="D183" s="126" t="n">
        <x:v>8.533095261059264</x:v>
      </x:c>
      <x:c r="E183" s="126" t="n">
        <x:v>33.066904738940735</x:v>
      </x:c>
      <x:c r="F183" s="127" t="n">
        <x:v>33.6</x:v>
      </x:c>
      <x:c r="G183" s="123" t="n">
        <x:v>8</x:v>
      </x:c>
      <x:c r="H183" s="123" t="n">
        <x:v>0.5330952610592661</x:v>
      </x:c>
      <x:c r="I183" s="122" t="n">
        <x:v>0.01612171641912025</x:v>
      </x:c>
      <x:c r="J183" s="36" t="str">
        <x:v>Leitura real — sequência serpentina</x:v>
      </x:c>
    </x:row>
    <x:row r="184">
      <x:c r="A184" s="40" t="n">
        <x:v>172</x:v>
      </x:c>
      <x:c r="B184" s="41" t="n">
        <x:v>-0.55</x:v>
      </x:c>
      <x:c r="C184" s="41" t="n">
        <x:v>0.5</x:v>
      </x:c>
      <x:c r="D184" s="126" t="n">
        <x:v>9.886299388292914</x:v>
      </x:c>
      <x:c r="E184" s="126" t="n">
        <x:v>31.71370061170709</x:v>
      </x:c>
      <x:c r="F184" s="127" t="n">
        <x:v>32.5</x:v>
      </x:c>
      <x:c r="G184" s="123" t="n">
        <x:v>9.100000000000001</x:v>
      </x:c>
      <x:c r="H184" s="123" t="n">
        <x:v>0.7862993882929104</x:v>
      </x:c>
      <x:c r="I184" s="122" t="n">
        <x:v>0.024793681378282563</x:v>
      </x:c>
      <x:c r="J184" s="36" t="str">
        <x:v>Leitura real — sequência serpentina</x:v>
      </x:c>
    </x:row>
    <x:row r="185">
      <x:c r="A185" s="40" t="n">
        <x:v>173</x:v>
      </x:c>
      <x:c r="B185" s="41" t="n">
        <x:v>-0.30000000000000004</x:v>
      </x:c>
      <x:c r="C185" s="41" t="n">
        <x:v>0.5</x:v>
      </x:c>
      <x:c r="D185" s="126" t="n">
        <x:v>11.64771982317229</x:v>
      </x:c>
      <x:c r="E185" s="126" t="n">
        <x:v>29.952280176827713</x:v>
      </x:c>
      <x:c r="F185" s="127" t="n">
        <x:v>28.8</x:v>
      </x:c>
      <x:c r="G185" s="123" t="n">
        <x:v>12.8</x:v>
      </x:c>
      <x:c r="H185" s="123" t="n">
        <x:v>-1.1522801768277127</x:v>
      </x:c>
      <x:c r="I185" s="122" t="n">
        <x:v>-0.03847053279500113</x:v>
      </x:c>
      <x:c r="J185" s="36" t="str">
        <x:v>Leitura real — sequência serpentina</x:v>
      </x:c>
    </x:row>
    <x:row r="186">
      <x:c r="A186" s="40" t="n">
        <x:v>174</x:v>
      </x:c>
      <x:c r="B186" s="41" t="n">
        <x:v>-0.050000000000000044</x:v>
      </x:c>
      <x:c r="C186" s="41" t="n">
        <x:v>0.5</x:v>
      </x:c>
      <x:c r="D186" s="126" t="n">
        <x:v>13.791765323900568</x:v>
      </x:c>
      <x:c r="E186" s="126" t="n">
        <x:v>27.80823467609943</x:v>
      </x:c>
      <x:c r="F186" s="127" t="n">
        <x:v>29.6</x:v>
      </x:c>
      <x:c r="G186" s="123" t="n">
        <x:v>12</x:v>
      </x:c>
      <x:c r="H186" s="123" t="n">
        <x:v>1.7917653239005702</x:v>
      </x:c>
      <x:c r="I186" s="122" t="n">
        <x:v>0.06443290430947611</x:v>
      </x:c>
      <x:c r="J186" s="36" t="str">
        <x:v>Leitura real — sequência serpentina</x:v>
      </x:c>
    </x:row>
    <x:row r="187">
      <x:c r="A187" s="40" t="n">
        <x:v>175</x:v>
      </x:c>
      <x:c r="B187" s="41" t="n">
        <x:v>0.19999999999999996</x:v>
      </x:c>
      <x:c r="C187" s="41" t="n">
        <x:v>0.5</x:v>
      </x:c>
      <x:c r="D187" s="126" t="n">
        <x:v>15.969607643374747</x:v>
      </x:c>
      <x:c r="E187" s="126" t="n">
        <x:v>25.630392356625254</x:v>
      </x:c>
      <x:c r="F187" s="127" t="n">
        <x:v>24.4</x:v>
      </x:c>
      <x:c r="G187" s="123" t="n">
        <x:v>17.200000000000003</x:v>
      </x:c>
      <x:c r="H187" s="123" t="n">
        <x:v>-1.2303923566252557</x:v>
      </x:c>
      <x:c r="I187" s="122" t="n">
        <x:v>-0.04800520957718421</x:v>
      </x:c>
      <x:c r="J187" s="36" t="str">
        <x:v>Leitura real — sequência serpentina</x:v>
      </x:c>
    </x:row>
    <x:row r="188">
      <x:c r="A188" s="40" t="n">
        <x:v>176</x:v>
      </x:c>
      <x:c r="B188" s="41" t="n">
        <x:v>0.44999999999999996</x:v>
      </x:c>
      <x:c r="C188" s="41" t="n">
        <x:v>0.5</x:v>
      </x:c>
      <x:c r="D188" s="126" t="n">
        <x:v>17.726603653439383</x:v>
      </x:c>
      <x:c r="E188" s="126" t="n">
        <x:v>23.873396346560618</x:v>
      </x:c>
      <x:c r="F188" s="127" t="n">
        <x:v>21.6</x:v>
      </x:c>
      <x:c r="G188" s="123" t="n">
        <x:v>20</x:v>
      </x:c>
      <x:c r="H188" s="123" t="n">
        <x:v>-2.2733963465606166</x:v>
      </x:c>
      <x:c r="I188" s="122" t="n">
        <x:v>-0.09522718567390347</x:v>
      </x:c>
      <x:c r="J188" s="36" t="str">
        <x:v>Leitura real — sequência serpentina</x:v>
      </x:c>
    </x:row>
    <x:row r="189">
      <x:c r="A189" s="40" t="n">
        <x:v>177</x:v>
      </x:c>
      <x:c r="B189" s="41" t="n">
        <x:v>0.7</x:v>
      </x:c>
      <x:c r="C189" s="41" t="n">
        <x:v>0.5</x:v>
      </x:c>
      <x:c r="D189" s="126" t="n">
        <x:v>18.913092129902644</x:v>
      </x:c>
      <x:c r="E189" s="126" t="n">
        <x:v>22.686907870097357</x:v>
      </x:c>
      <x:c r="F189" s="127" t="n">
        <x:v>24.3</x:v>
      </x:c>
      <x:c r="G189" s="123" t="n">
        <x:v>17.3</x:v>
      </x:c>
      <x:c r="H189" s="123" t="n">
        <x:v>1.6130921299026433</x:v>
      </x:c>
      <x:c r="I189" s="122" t="n">
        <x:v>0.07110233528249088</x:v>
      </x:c>
      <x:c r="J189" s="36" t="str">
        <x:v>Leitura real — sequência serpentina</x:v>
      </x:c>
    </x:row>
    <x:row r="190">
      <x:c r="A190" s="40" t="n">
        <x:v>178</x:v>
      </x:c>
      <x:c r="B190" s="41" t="n">
        <x:v>0.95</x:v>
      </x:c>
      <x:c r="C190" s="41" t="n">
        <x:v>0.5</x:v>
      </x:c>
      <x:c r="D190" s="126" t="n">
        <x:v>19.580807810444814</x:v>
      </x:c>
      <x:c r="E190" s="126" t="n">
        <x:v>22.019192189555188</x:v>
      </x:c>
      <x:c r="F190" s="127" t="n">
        <x:v>21.5</x:v>
      </x:c>
      <x:c r="G190" s="123" t="n">
        <x:v>20.1</x:v>
      </x:c>
      <x:c r="H190" s="123" t="n">
        <x:v>-0.5191921895551879</x:v>
      </x:c>
      <x:c r="I190" s="122" t="n">
        <x:v>-0.023579075248794407</x:v>
      </x:c>
      <x:c r="J190" s="36" t="str">
        <x:v>Leitura real — sequência serpentina</x:v>
      </x:c>
    </x:row>
    <x:row r="191">
      <x:c r="A191" s="40" t="n">
        <x:v>179</x:v>
      </x:c>
      <x:c r="B191" s="41" t="n">
        <x:v>1.2</x:v>
      </x:c>
      <x:c r="C191" s="41" t="n">
        <x:v>0.5</x:v>
      </x:c>
      <x:c r="D191" s="126" t="n">
        <x:v>19.79533227393452</x:v>
      </x:c>
      <x:c r="E191" s="126" t="n">
        <x:v>21.80466772606548</x:v>
      </x:c>
      <x:c r="F191" s="127" t="n">
        <x:v>21.8</x:v>
      </x:c>
      <x:c r="G191" s="123" t="n">
        <x:v>19.8</x:v>
      </x:c>
      <x:c r="H191" s="123" t="n">
        <x:v>-0.004667726065481048</x:v>
      </x:c>
      <x:c r="I191" s="122" t="n">
        <x:v>-0.00021407003876978183</x:v>
      </x:c>
      <x:c r="J191" s="36" t="str">
        <x:v>Leitura real — sequência serpentina</x:v>
      </x:c>
    </x:row>
    <x:row r="192">
      <x:c r="A192" s="40" t="n">
        <x:v>180</x:v>
      </x:c>
      <x:c r="B192" s="41" t="n">
        <x:v>1.45</x:v>
      </x:c>
      <x:c r="C192" s="41" t="n">
        <x:v>0.5</x:v>
      </x:c>
      <x:c r="D192" s="126" t="n">
        <x:v>19.580807810444814</x:v>
      </x:c>
      <x:c r="E192" s="126" t="n">
        <x:v>22.019192189555188</x:v>
      </x:c>
      <x:c r="F192" s="127" t="n">
        <x:v>24.2</x:v>
      </x:c>
      <x:c r="G192" s="123" t="n">
        <x:v>17.400000000000002</x:v>
      </x:c>
      <x:c r="H192" s="123" t="n">
        <x:v>2.1808078104448114</x:v>
      </x:c>
      <x:c r="I192" s="122" t="n">
        <x:v>0.09904122692926394</x:v>
      </x:c>
      <x:c r="J192" s="36" t="str">
        <x:v>Leitura real — sequência serpentina</x:v>
      </x:c>
    </x:row>
    <x:row r="193">
      <x:c r="A193" s="40" t="n">
        <x:v>181</x:v>
      </x:c>
      <x:c r="B193" s="41" t="n">
        <x:v>1.7</x:v>
      </x:c>
      <x:c r="C193" s="41" t="n">
        <x:v>0.5</x:v>
      </x:c>
      <x:c r="D193" s="126" t="n">
        <x:v>18.913092129902644</x:v>
      </x:c>
      <x:c r="E193" s="126" t="n">
        <x:v>22.686907870097357</x:v>
      </x:c>
      <x:c r="F193" s="127" t="n">
        <x:v>24.2</x:v>
      </x:c>
      <x:c r="G193" s="123" t="n">
        <x:v>17.400000000000002</x:v>
      </x:c>
      <x:c r="H193" s="123" t="n">
        <x:v>1.5130921299026419</x:v>
      </x:c>
      <x:c r="I193" s="122" t="n">
        <x:v>0.06669450674223365</x:v>
      </x:c>
      <x:c r="J193" s="36" t="str">
        <x:v>Leitura real — sequência serpentina</x:v>
      </x:c>
    </x:row>
    <x:row r="194">
      <x:c r="A194" s="40" t="n">
        <x:v>182</x:v>
      </x:c>
      <x:c r="B194" s="41" t="n">
        <x:v>1.95</x:v>
      </x:c>
      <x:c r="C194" s="41" t="n">
        <x:v>0.5</x:v>
      </x:c>
      <x:c r="D194" s="126" t="n">
        <x:v>17.726603653439383</x:v>
      </x:c>
      <x:c r="E194" s="126" t="n">
        <x:v>23.873396346560618</x:v>
      </x:c>
      <x:c r="F194" s="127" t="n">
        <x:v>24.6</x:v>
      </x:c>
      <x:c r="G194" s="123" t="n">
        <x:v>17</x:v>
      </x:c>
      <x:c r="H194" s="123" t="n">
        <x:v>0.7266036534393834</x:v>
      </x:c>
      <x:c r="I194" s="122" t="n">
        <x:v>0.030435705204721046</x:v>
      </x:c>
      <x:c r="J194" s="36" t="str">
        <x:v>Leitura real — sequência serpentina</x:v>
      </x:c>
    </x:row>
    <x:row r="195">
      <x:c r="A195" s="40" t="n">
        <x:v>183</x:v>
      </x:c>
      <x:c r="B195" s="41" t="n">
        <x:v>2.2</x:v>
      </x:c>
      <x:c r="C195" s="41" t="n">
        <x:v>0.5</x:v>
      </x:c>
      <x:c r="D195" s="126" t="n">
        <x:v>15.969607643374744</x:v>
      </x:c>
      <x:c r="E195" s="126" t="n">
        <x:v>25.630392356625258</x:v>
      </x:c>
      <x:c r="F195" s="127" t="n">
        <x:v>27</x:v>
      </x:c>
      <x:c r="G195" s="123" t="n">
        <x:v>14.600000000000001</x:v>
      </x:c>
      <x:c r="H195" s="123" t="n">
        <x:v>1.3696076433747422</x:v>
      </x:c>
      <x:c r="I195" s="122" t="n">
        <x:v>0.05343685825475509</x:v>
      </x:c>
      <x:c r="J195" s="36" t="str">
        <x:v>Leitura real — sequência serpentina</x:v>
      </x:c>
    </x:row>
    <x:row r="196">
      <x:c r="A196" s="40" t="n">
        <x:v>184</x:v>
      </x:c>
      <x:c r="B196" s="41" t="n">
        <x:v>2.45</x:v>
      </x:c>
      <x:c r="C196" s="41" t="n">
        <x:v>0.5</x:v>
      </x:c>
      <x:c r="D196" s="126" t="n">
        <x:v>13.791765323900567</x:v>
      </x:c>
      <x:c r="E196" s="126" t="n">
        <x:v>27.808234676099435</x:v>
      </x:c>
      <x:c r="F196" s="127" t="n">
        <x:v>26.8</x:v>
      </x:c>
      <x:c r="G196" s="123" t="n">
        <x:v>14.8</x:v>
      </x:c>
      <x:c r="H196" s="123" t="n">
        <x:v>-1.008234676099434</x:v>
      </x:c>
      <x:c r="I196" s="122" t="n">
        <x:v>-0.03625669474682582</x:v>
      </x:c>
      <x:c r="J196" s="36" t="str">
        <x:v>Leitura real — sequência serpentina</x:v>
      </x:c>
    </x:row>
    <x:row r="197">
      <x:c r="A197" s="40" t="n">
        <x:v>185</x:v>
      </x:c>
      <x:c r="B197" s="41" t="n">
        <x:v>2.7</x:v>
      </x:c>
      <x:c r="C197" s="41" t="n">
        <x:v>0.5</x:v>
      </x:c>
      <x:c r="D197" s="126" t="n">
        <x:v>11.647719823172288</x:v>
      </x:c>
      <x:c r="E197" s="126" t="n">
        <x:v>29.952280176827713</x:v>
      </x:c>
      <x:c r="F197" s="127" t="n">
        <x:v>31.2</x:v>
      </x:c>
      <x:c r="G197" s="123" t="n">
        <x:v>10.400000000000002</x:v>
      </x:c>
      <x:c r="H197" s="123" t="n">
        <x:v>1.247719823172286</x:v>
      </x:c>
      <x:c r="I197" s="122" t="n">
        <x:v>0.0416569228054154</x:v>
      </x:c>
      <x:c r="J197" s="36" t="str">
        <x:v>Leitura real — sequência serpentina</x:v>
      </x:c>
    </x:row>
    <x:row r="198">
      <x:c r="A198" s="40" t="n">
        <x:v>186</x:v>
      </x:c>
      <x:c r="B198" s="41" t="n">
        <x:v>2.95</x:v>
      </x:c>
      <x:c r="C198" s="41" t="n">
        <x:v>0.5</x:v>
      </x:c>
      <x:c r="D198" s="126" t="n">
        <x:v>9.886299388292912</x:v>
      </x:c>
      <x:c r="E198" s="126" t="n">
        <x:v>31.71370061170709</x:v>
      </x:c>
      <x:c r="F198" s="127" t="n">
        <x:v>33.6</x:v>
      </x:c>
      <x:c r="G198" s="123" t="n">
        <x:v>8</x:v>
      </x:c>
      <x:c r="H198" s="123" t="n">
        <x:v>1.8862993882929118</x:v>
      </x:c>
      <x:c r="I198" s="122" t="n">
        <x:v>0.059479005978778324</x:v>
      </x:c>
      <x:c r="J198" s="36" t="str">
        <x:v>Leitura real — sequência serpentina</x:v>
      </x:c>
    </x:row>
    <x:row r="199">
      <x:c r="A199" s="40" t="n">
        <x:v>187</x:v>
      </x:c>
      <x:c r="B199" s="41" t="n">
        <x:v>3.2</x:v>
      </x:c>
      <x:c r="C199" s="41" t="n">
        <x:v>0.5</x:v>
      </x:c>
      <x:c r="D199" s="126" t="n">
        <x:v>8.533095261059263</x:v>
      </x:c>
      <x:c r="E199" s="126" t="n">
        <x:v>33.066904738940735</x:v>
      </x:c>
      <x:c r="F199" s="127" t="n">
        <x:v>34.4</x:v>
      </x:c>
      <x:c r="G199" s="123" t="n">
        <x:v>7.200000000000003</x:v>
      </x:c>
      <x:c r="H199" s="123" t="n">
        <x:v>1.3330952610592632</x:v>
      </x:c>
      <x:c r="I199" s="122" t="n">
        <x:v>0.04031509061957541</x:v>
      </x:c>
      <x:c r="J199" s="36" t="str">
        <x:v>Leitura real — sequência serpentina</x:v>
      </x:c>
    </x:row>
    <x:row r="200">
      <x:c r="A200" s="40" t="n">
        <x:v>188</x:v>
      </x:c>
      <x:c r="B200" s="41" t="n">
        <x:v>-0.8</x:v>
      </x:c>
      <x:c r="C200" s="41" t="n">
        <x:v>0.75</x:v>
      </x:c>
      <x:c r="D200" s="126" t="n">
        <x:v>8.05248234725727</x:v>
      </x:c>
      <x:c r="E200" s="126" t="n">
        <x:v>33.547517652742734</x:v>
      </x:c>
      <x:c r="F200" s="127" t="n">
        <x:v>34.2</x:v>
      </x:c>
      <x:c r="G200" s="123" t="n">
        <x:v>7.399999999999999</x:v>
      </x:c>
      <x:c r="H200" s="123" t="n">
        <x:v>0.6524823472572692</x:v>
      </x:c>
      <x:c r="I200" s="122" t="n">
        <x:v>0.019449497098749553</x:v>
      </x:c>
      <x:c r="J200" s="36" t="str">
        <x:v>Leitura real — sequência serpentina</x:v>
      </x:c>
    </x:row>
    <x:row r="201">
      <x:c r="A201" s="40" t="n">
        <x:v>189</x:v>
      </x:c>
      <x:c r="B201" s="41" t="n">
        <x:v>-0.55</x:v>
      </x:c>
      <x:c r="C201" s="41" t="n">
        <x:v>0.75</x:v>
      </x:c>
      <x:c r="D201" s="126" t="n">
        <x:v>9.118475139148824</x:v>
      </x:c>
      <x:c r="E201" s="126" t="n">
        <x:v>32.48152486085118</x:v>
      </x:c>
      <x:c r="F201" s="127" t="n">
        <x:v>32.9</x:v>
      </x:c>
      <x:c r="G201" s="123" t="n">
        <x:v>8.700000000000003</x:v>
      </x:c>
      <x:c r="H201" s="123" t="n">
        <x:v>0.41847513914881773</x:v>
      </x:c>
      <x:c r="I201" s="122" t="n">
        <x:v>0.012883481946784797</x:v>
      </x:c>
      <x:c r="J201" s="36" t="str">
        <x:v>Leitura real — sequência serpentina</x:v>
      </x:c>
    </x:row>
    <x:row r="202">
      <x:c r="A202" s="40" t="n">
        <x:v>190</x:v>
      </x:c>
      <x:c r="B202" s="41" t="n">
        <x:v>-0.30000000000000004</x:v>
      </x:c>
      <x:c r="C202" s="41" t="n">
        <x:v>0.75</x:v>
      </x:c>
      <x:c r="D202" s="126" t="n">
        <x:v>10.386629027743687</x:v>
      </x:c>
      <x:c r="E202" s="126" t="n">
        <x:v>31.213370972256314</x:v>
      </x:c>
      <x:c r="F202" s="127" t="n">
        <x:v>32.2</x:v>
      </x:c>
      <x:c r="G202" s="123" t="n">
        <x:v>9.399999999999999</x:v>
      </x:c>
      <x:c r="H202" s="123" t="n">
        <x:v>0.9866290277436889</x:v>
      </x:c>
      <x:c r="I202" s="122" t="n">
        <x:v>0.0316091789195292</x:v>
      </x:c>
      <x:c r="J202" s="36" t="str">
        <x:v>Leitura real — sequência serpentina</x:v>
      </x:c>
    </x:row>
    <x:row r="203">
      <x:c r="A203" s="40" t="n">
        <x:v>191</x:v>
      </x:c>
      <x:c r="B203" s="41" t="n">
        <x:v>-0.050000000000000044</x:v>
      </x:c>
      <x:c r="C203" s="41" t="n">
        <x:v>0.75</x:v>
      </x:c>
      <x:c r="D203" s="126" t="n">
        <x:v>11.795847967871754</x:v>
      </x:c>
      <x:c r="E203" s="126" t="n">
        <x:v>29.804152032128247</x:v>
      </x:c>
      <x:c r="F203" s="127" t="n">
        <x:v>30.4</x:v>
      </x:c>
      <x:c r="G203" s="123" t="n">
        <x:v>11.200000000000003</x:v>
      </x:c>
      <x:c r="H203" s="123" t="n">
        <x:v>0.5958479678717516</x:v>
      </x:c>
      <x:c r="I203" s="122" t="n">
        <x:v>0.01999211275091605</x:v>
      </x:c>
      <x:c r="J203" s="36" t="str">
        <x:v>Leitura real — sequência serpentina</x:v>
      </x:c>
    </x:row>
    <x:row r="204">
      <x:c r="A204" s="40" t="n">
        <x:v>192</x:v>
      </x:c>
      <x:c r="B204" s="41" t="n">
        <x:v>0.19999999999999996</x:v>
      </x:c>
      <x:c r="C204" s="41" t="n">
        <x:v>0.75</x:v>
      </x:c>
      <x:c r="D204" s="126" t="n">
        <x:v>13.183404647235264</x:v>
      </x:c>
      <x:c r="E204" s="126" t="n">
        <x:v>28.416595352764737</x:v>
      </x:c>
      <x:c r="F204" s="127" t="n">
        <x:v>28.9</x:v>
      </x:c>
      <x:c r="G204" s="123" t="n">
        <x:v>12.700000000000003</x:v>
      </x:c>
      <x:c r="H204" s="123" t="n">
        <x:v>0.4834046472352611</x:v>
      </x:c>
      <x:c r="I204" s="122" t="n">
        <x:v>0.017011349925431133</x:v>
      </x:c>
      <x:c r="J204" s="36" t="str">
        <x:v>Leitura real — sequência serpentina</x:v>
      </x:c>
    </x:row>
    <x:row r="205">
      <x:c r="A205" s="40" t="n">
        <x:v>193</x:v>
      </x:c>
      <x:c r="B205" s="41" t="n">
        <x:v>0.44999999999999996</x:v>
      </x:c>
      <x:c r="C205" s="41" t="n">
        <x:v>0.75</x:v>
      </x:c>
      <x:c r="D205" s="126" t="n">
        <x:v>14.358947584227925</x:v>
      </x:c>
      <x:c r="E205" s="126" t="n">
        <x:v>27.241052415772074</x:v>
      </x:c>
      <x:c r="F205" s="127" t="n">
        <x:v>27.6</x:v>
      </x:c>
      <x:c r="G205" s="123" t="n">
        <x:v>14</x:v>
      </x:c>
      <x:c r="H205" s="123" t="n">
        <x:v>0.35894758422792705</x:v>
      </x:c>
      <x:c r="I205" s="122" t="n">
        <x:v>0.013176715009002476</x:v>
      </x:c>
      <x:c r="J205" s="36" t="str">
        <x:v>Leitura real — sequência serpentina</x:v>
      </x:c>
    </x:row>
    <x:row r="206">
      <x:c r="A206" s="40" t="n">
        <x:v>194</x:v>
      </x:c>
      <x:c r="B206" s="41" t="n">
        <x:v>0.7</x:v>
      </x:c>
      <x:c r="C206" s="41" t="n">
        <x:v>0.75</x:v>
      </x:c>
      <x:c r="D206" s="126" t="n">
        <x:v>15.212493779745492</x:v>
      </x:c>
      <x:c r="E206" s="126" t="n">
        <x:v>26.387506220254508</x:v>
      </x:c>
      <x:c r="F206" s="127" t="n">
        <x:v>27.1</x:v>
      </x:c>
      <x:c r="G206" s="123" t="n">
        <x:v>14.5</x:v>
      </x:c>
      <x:c r="H206" s="123" t="n">
        <x:v>0.7124937797454933</x:v>
      </x:c>
      <x:c r="I206" s="122" t="n">
        <x:v>0.027001179035198018</x:v>
      </x:c>
      <x:c r="J206" s="36" t="str">
        <x:v>Leitura real — sequência serpentina</x:v>
      </x:c>
    </x:row>
    <x:row r="207">
      <x:c r="A207" s="40" t="n">
        <x:v>195</x:v>
      </x:c>
      <x:c r="B207" s="41" t="n">
        <x:v>0.95</x:v>
      </x:c>
      <x:c r="C207" s="41" t="n">
        <x:v>0.75</x:v>
      </x:c>
      <x:c r="D207" s="126" t="n">
        <x:v>15.718948362096512</x:v>
      </x:c>
      <x:c r="E207" s="126" t="n">
        <x:v>25.88105163790349</x:v>
      </x:c>
      <x:c r="F207" s="127" t="n">
        <x:v>24.2</x:v>
      </x:c>
      <x:c r="G207" s="123" t="n">
        <x:v>17.400000000000002</x:v>
      </x:c>
      <x:c r="H207" s="123" t="n">
        <x:v>-1.68105163790349</x:v>
      </x:c>
      <x:c r="I207" s="122" t="n">
        <x:v>-0.0649529880556146</x:v>
      </x:c>
      <x:c r="J207" s="36" t="str">
        <x:v>Leitura real — sequência serpentina</x:v>
      </x:c>
    </x:row>
    <x:row r="208">
      <x:c r="A208" s="40" t="n">
        <x:v>196</x:v>
      </x:c>
      <x:c r="B208" s="41" t="n">
        <x:v>1.2</x:v>
      </x:c>
      <x:c r="C208" s="41" t="n">
        <x:v>0.75</x:v>
      </x:c>
      <x:c r="D208" s="126" t="n">
        <x:v>15.885863091158573</x:v>
      </x:c>
      <x:c r="E208" s="126" t="n">
        <x:v>25.71413690884143</x:v>
      </x:c>
      <x:c r="F208" s="127" t="n">
        <x:v>24</x:v>
      </x:c>
      <x:c r="G208" s="123" t="n">
        <x:v>17.6</x:v>
      </x:c>
      <x:c r="H208" s="123" t="n">
        <x:v>-1.7141369088414287</x:v>
      </x:c>
      <x:c r="I208" s="122" t="n">
        <x:v>-0.06666126554891476</x:v>
      </x:c>
      <x:c r="J208" s="36" t="str">
        <x:v>Leitura real — sequência serpentina</x:v>
      </x:c>
    </x:row>
    <x:row r="209">
      <x:c r="A209" s="40" t="n">
        <x:v>197</x:v>
      </x:c>
      <x:c r="B209" s="41" t="n">
        <x:v>1.45</x:v>
      </x:c>
      <x:c r="C209" s="41" t="n">
        <x:v>0.75</x:v>
      </x:c>
      <x:c r="D209" s="126" t="n">
        <x:v>15.718948362096512</x:v>
      </x:c>
      <x:c r="E209" s="126" t="n">
        <x:v>25.88105163790349</x:v>
      </x:c>
      <x:c r="F209" s="127" t="n">
        <x:v>26.3</x:v>
      </x:c>
      <x:c r="G209" s="123" t="n">
        <x:v>15.3</x:v>
      </x:c>
      <x:c r="H209" s="123" t="n">
        <x:v>0.4189483620965113</x:v>
      </x:c>
      <x:c r="I209" s="122" t="n">
        <x:v>0.01618745512964204</x:v>
      </x:c>
      <x:c r="J209" s="36" t="str">
        <x:v>Leitura real — sequência serpentina</x:v>
      </x:c>
    </x:row>
    <x:row r="210">
      <x:c r="A210" s="40" t="n">
        <x:v>198</x:v>
      </x:c>
      <x:c r="B210" s="41" t="n">
        <x:v>1.7</x:v>
      </x:c>
      <x:c r="C210" s="41" t="n">
        <x:v>0.75</x:v>
      </x:c>
      <x:c r="D210" s="126" t="n">
        <x:v>15.212493779745492</x:v>
      </x:c>
      <x:c r="E210" s="126" t="n">
        <x:v>26.387506220254508</x:v>
      </x:c>
      <x:c r="F210" s="127" t="n">
        <x:v>26.9</x:v>
      </x:c>
      <x:c r="G210" s="123" t="n">
        <x:v>14.700000000000003</x:v>
      </x:c>
      <x:c r="H210" s="123" t="n">
        <x:v>0.5124937797454905</x:v>
      </x:c>
      <x:c r="I210" s="122" t="n">
        <x:v>0.019421834540473203</x:v>
      </x:c>
      <x:c r="J210" s="36" t="str">
        <x:v>Leitura real — sequência serpentina</x:v>
      </x:c>
    </x:row>
    <x:row r="211">
      <x:c r="A211" s="40" t="n">
        <x:v>199</x:v>
      </x:c>
      <x:c r="B211" s="41" t="n">
        <x:v>1.95</x:v>
      </x:c>
      <x:c r="C211" s="41" t="n">
        <x:v>0.75</x:v>
      </x:c>
      <x:c r="D211" s="126" t="n">
        <x:v>14.358947584227925</x:v>
      </x:c>
      <x:c r="E211" s="126" t="n">
        <x:v>27.241052415772074</x:v>
      </x:c>
      <x:c r="F211" s="127" t="n">
        <x:v>28.5</x:v>
      </x:c>
      <x:c r="G211" s="123" t="n">
        <x:v>13.100000000000001</x:v>
      </x:c>
      <x:c r="H211" s="123" t="n">
        <x:v>1.2589475842279256</x:v>
      </x:c>
      <x:c r="I211" s="122" t="n">
        <x:v>0.046215086150600326</x:v>
      </x:c>
      <x:c r="J211" s="36" t="str">
        <x:v>Leitura real — sequência serpentina</x:v>
      </x:c>
    </x:row>
    <x:row r="212">
      <x:c r="A212" s="40" t="n">
        <x:v>200</x:v>
      </x:c>
      <x:c r="B212" s="41" t="n">
        <x:v>2.2</x:v>
      </x:c>
      <x:c r="C212" s="41" t="n">
        <x:v>0.75</x:v>
      </x:c>
      <x:c r="D212" s="126" t="n">
        <x:v>13.18340464723526</x:v>
      </x:c>
      <x:c r="E212" s="126" t="n">
        <x:v>28.41659535276474</x:v>
      </x:c>
      <x:c r="F212" s="127" t="n">
        <x:v>28</x:v>
      </x:c>
      <x:c r="G212" s="123" t="n">
        <x:v>13.600000000000001</x:v>
      </x:c>
      <x:c r="H212" s="123" t="n">
        <x:v>-0.416595352764741</x:v>
      </x:c>
      <x:c r="I212" s="122" t="n">
        <x:v>-0.014660283809270949</x:v>
      </x:c>
      <x:c r="J212" s="36" t="str">
        <x:v>Leitura real — sequência serpentina</x:v>
      </x:c>
    </x:row>
    <x:row r="213">
      <x:c r="A213" s="40" t="n">
        <x:v>201</x:v>
      </x:c>
      <x:c r="B213" s="41" t="n">
        <x:v>2.45</x:v>
      </x:c>
      <x:c r="C213" s="41" t="n">
        <x:v>0.75</x:v>
      </x:c>
      <x:c r="D213" s="126" t="n">
        <x:v>11.795847967871753</x:v>
      </x:c>
      <x:c r="E213" s="126" t="n">
        <x:v>29.80415203212825</x:v>
      </x:c>
      <x:c r="F213" s="127" t="n">
        <x:v>30.1</x:v>
      </x:c>
      <x:c r="G213" s="123" t="n">
        <x:v>11.5</x:v>
      </x:c>
      <x:c r="H213" s="123" t="n">
        <x:v>0.29584796787175094</x:v>
      </x:c>
      <x:c r="I213" s="122" t="n">
        <x:v>0.009926401111926723</x:v>
      </x:c>
      <x:c r="J213" s="36" t="str">
        <x:v>Leitura real — sequência serpentina</x:v>
      </x:c>
    </x:row>
    <x:row r="214">
      <x:c r="A214" s="40" t="n">
        <x:v>202</x:v>
      </x:c>
      <x:c r="B214" s="41" t="n">
        <x:v>2.7</x:v>
      </x:c>
      <x:c r="C214" s="41" t="n">
        <x:v>0.75</x:v>
      </x:c>
      <x:c r="D214" s="126" t="n">
        <x:v>10.386629027743686</x:v>
      </x:c>
      <x:c r="E214" s="126" t="n">
        <x:v>31.213370972256314</x:v>
      </x:c>
      <x:c r="F214" s="127" t="n">
        <x:v>32.2</x:v>
      </x:c>
      <x:c r="G214" s="123" t="n">
        <x:v>9.399999999999999</x:v>
      </x:c>
      <x:c r="H214" s="123" t="n">
        <x:v>0.9866290277436889</x:v>
      </x:c>
      <x:c r="I214" s="122" t="n">
        <x:v>0.0316091789195292</x:v>
      </x:c>
      <x:c r="J214" s="36" t="str">
        <x:v>Leitura real — sequência serpentina</x:v>
      </x:c>
    </x:row>
    <x:row r="215">
      <x:c r="A215" s="40" t="n">
        <x:v>203</x:v>
      </x:c>
      <x:c r="B215" s="41" t="n">
        <x:v>2.95</x:v>
      </x:c>
      <x:c r="C215" s="41" t="n">
        <x:v>0.75</x:v>
      </x:c>
      <x:c r="D215" s="126" t="n">
        <x:v>9.118475139148824</x:v>
      </x:c>
      <x:c r="E215" s="126" t="n">
        <x:v>32.48152486085118</x:v>
      </x:c>
      <x:c r="F215" s="127" t="n">
        <x:v>27.9</x:v>
      </x:c>
      <x:c r="G215" s="123" t="n">
        <x:v>13.700000000000003</x:v>
      </x:c>
      <x:c r="H215" s="123" t="n">
        <x:v>-4.581524860851182</x:v>
      </x:c>
      <x:c r="I215" s="122" t="n">
        <x:v>-0.14105017792354724</x:v>
      </x:c>
      <x:c r="J215" s="36" t="str">
        <x:v>Leitura real — sequência serpentina</x:v>
      </x:c>
    </x:row>
    <x:row r="216">
      <x:c r="A216" s="40" t="n">
        <x:v>204</x:v>
      </x:c>
      <x:c r="B216" s="41" t="n">
        <x:v>3.2</x:v>
      </x:c>
      <x:c r="C216" s="41" t="n">
        <x:v>0.75</x:v>
      </x:c>
      <x:c r="D216" s="126" t="n">
        <x:v>8.05248234725727</x:v>
      </x:c>
      <x:c r="E216" s="126" t="n">
        <x:v>33.547517652742734</x:v>
      </x:c>
      <x:c r="F216" s="127" t="n">
        <x:v>33.3</x:v>
      </x:c>
      <x:c r="G216" s="123" t="n">
        <x:v>8.300000000000004</x:v>
      </x:c>
      <x:c r="H216" s="123" t="n">
        <x:v>-0.24751765274273652</x:v>
      </x:c>
      <x:c r="I216" s="122" t="n">
        <x:v>-0.0073781212459545515</x:v>
      </x:c>
      <x:c r="J216" s="36" t="str">
        <x:v>Leitura real — sequência serpentina</x:v>
      </x:c>
    </x:row>
    <x:row r="217">
      <x:c r="A217" s="40" t="n">
        <x:v>205</x:v>
      </x:c>
      <x:c r="B217" s="41" t="n">
        <x:v>-0.8</x:v>
      </x:c>
      <x:c r="C217" s="41" t="n">
        <x:v>1</x:v>
      </x:c>
      <x:c r="D217" s="126" t="n">
        <x:v>7.529421929159231</x:v>
      </x:c>
      <x:c r="E217" s="126" t="n">
        <x:v>34.07057807084077</x:v>
      </x:c>
      <x:c r="F217" s="127" t="n">
        <x:v>35</x:v>
      </x:c>
      <x:c r="G217" s="123" t="n">
        <x:v>6.600000000000001</x:v>
      </x:c>
      <x:c r="H217" s="123" t="n">
        <x:v>0.9294219291592327</x:v>
      </x:c>
      <x:c r="I217" s="122" t="n">
        <x:v>0.027279311998368368</x:v>
      </x:c>
      <x:c r="J217" s="36" t="str">
        <x:v>Leitura real — sequência serpentina</x:v>
      </x:c>
    </x:row>
    <x:row r="218">
      <x:c r="A218" s="40" t="n">
        <x:v>206</x:v>
      </x:c>
      <x:c r="B218" s="41" t="n">
        <x:v>-0.55</x:v>
      </x:c>
      <x:c r="C218" s="41" t="n">
        <x:v>1</x:v>
      </x:c>
      <x:c r="D218" s="126" t="n">
        <x:v>8.358971955451157</x:v>
      </x:c>
      <x:c r="E218" s="126" t="n">
        <x:v>33.24102804454884</x:v>
      </x:c>
      <x:c r="F218" s="127" t="n">
        <x:v>35.3</x:v>
      </x:c>
      <x:c r="G218" s="123" t="n">
        <x:v>6.300000000000004</x:v>
      </x:c>
      <x:c r="H218" s="123" t="n">
        <x:v>2.058971955451156</x:v>
      </x:c>
      <x:c r="I218" s="122" t="n">
        <x:v>0.0619406822403859</x:v>
      </x:c>
      <x:c r="J218" s="36" t="str">
        <x:v>Leitura real — sequência serpentina</x:v>
      </x:c>
    </x:row>
    <x:row r="219">
      <x:c r="A219" s="40" t="n">
        <x:v>207</x:v>
      </x:c>
      <x:c r="B219" s="41" t="n">
        <x:v>-0.30000000000000004</x:v>
      </x:c>
      <x:c r="C219" s="41" t="n">
        <x:v>1</x:v>
      </x:c>
      <x:c r="D219" s="126" t="n">
        <x:v>9.286728320755502</x:v>
      </x:c>
      <x:c r="E219" s="126" t="n">
        <x:v>32.3132716792445</x:v>
      </x:c>
      <x:c r="F219" s="127" t="n">
        <x:v>31.9</x:v>
      </x:c>
      <x:c r="G219" s="123" t="n">
        <x:v>9.700000000000003</x:v>
      </x:c>
      <x:c r="H219" s="123" t="n">
        <x:v>-0.41327167924450237</x:v>
      </x:c>
      <x:c r="I219" s="122" t="n">
        <x:v>-0.01278953376639839</x:v>
      </x:c>
      <x:c r="J219" s="36" t="str">
        <x:v>Leitura real — sequência serpentina</x:v>
      </x:c>
    </x:row>
    <x:row r="220">
      <x:c r="A220" s="40" t="n">
        <x:v>208</x:v>
      </x:c>
      <x:c r="B220" s="41" t="n">
        <x:v>-0.050000000000000044</x:v>
      </x:c>
      <x:c r="C220" s="41" t="n">
        <x:v>1</x:v>
      </x:c>
      <x:c r="D220" s="126" t="n">
        <x:v>10.263880320536892</x:v>
      </x:c>
      <x:c r="E220" s="126" t="n">
        <x:v>31.33611967946311</x:v>
      </x:c>
      <x:c r="F220" s="127" t="n">
        <x:v>33</x:v>
      </x:c>
      <x:c r="G220" s="123" t="n">
        <x:v>8.600000000000001</x:v>
      </x:c>
      <x:c r="H220" s="123" t="n">
        <x:v>1.6638803205368902</x:v>
      </x:c>
      <x:c r="I220" s="122" t="n">
        <x:v>0.053097841645893214</x:v>
      </x:c>
      <x:c r="J220" s="36" t="str">
        <x:v>Leitura real — sequência serpentina</x:v>
      </x:c>
    </x:row>
    <x:row r="221">
      <x:c r="A221" s="40" t="n">
        <x:v>209</x:v>
      </x:c>
      <x:c r="B221" s="41" t="n">
        <x:v>0.19999999999999996</x:v>
      </x:c>
      <x:c r="C221" s="41" t="n">
        <x:v>1</x:v>
      </x:c>
      <x:c r="D221" s="126" t="n">
        <x:v>11.204742181349255</x:v>
      </x:c>
      <x:c r="E221" s="126" t="n">
        <x:v>30.395257818650748</x:v>
      </x:c>
      <x:c r="F221" s="127" t="n">
        <x:v>31.8</x:v>
      </x:c>
      <x:c r="G221" s="123" t="n">
        <x:v>9.8</x:v>
      </x:c>
      <x:c r="H221" s="123" t="n">
        <x:v>1.4047421813492527</x:v>
      </x:c>
      <x:c r="I221" s="122" t="n">
        <x:v>0.04621583372414406</x:v>
      </x:c>
      <x:c r="J221" s="36" t="str">
        <x:v>Leitura real — sequência serpentina</x:v>
      </x:c>
    </x:row>
    <x:row r="222">
      <x:c r="A222" s="40" t="n">
        <x:v>210</x:v>
      </x:c>
      <x:c r="B222" s="41" t="n">
        <x:v>0.44999999999999996</x:v>
      </x:c>
      <x:c r="C222" s="41" t="n">
        <x:v>1</x:v>
      </x:c>
      <x:c r="D222" s="126" t="n">
        <x:v>12.014082071123966</x:v>
      </x:c>
      <x:c r="E222" s="126" t="n">
        <x:v>29.585917928876036</x:v>
      </x:c>
      <x:c r="F222" s="127" t="n">
        <x:v>30.2</x:v>
      </x:c>
      <x:c r="G222" s="123" t="n">
        <x:v>11.400000000000002</x:v>
      </x:c>
      <x:c r="H222" s="123" t="n">
        <x:v>0.6140820711239634</x:v>
      </x:c>
      <x:c r="I222" s="122" t="n">
        <x:v>0.020755890440857863</x:v>
      </x:c>
      <x:c r="J222" s="36" t="str">
        <x:v>Leitura real — sequência serpentina</x:v>
      </x:c>
    </x:row>
    <x:row r="223">
      <x:c r="A223" s="40" t="n">
        <x:v>211</x:v>
      </x:c>
      <x:c r="B223" s="41" t="n">
        <x:v>0.7</x:v>
      </x:c>
      <x:c r="C223" s="41" t="n">
        <x:v>1</x:v>
      </x:c>
      <x:c r="D223" s="126" t="n">
        <x:v>12.622069333318302</x:v>
      </x:c>
      <x:c r="E223" s="126" t="n">
        <x:v>28.9779306666817</x:v>
      </x:c>
      <x:c r="F223" s="127" t="n">
        <x:v>28.7</x:v>
      </x:c>
      <x:c r="G223" s="123" t="n">
        <x:v>12.900000000000002</x:v>
      </x:c>
      <x:c r="H223" s="123" t="n">
        <x:v>-0.2779306666817014</x:v>
      </x:c>
      <x:c r="I223" s="122" t="n">
        <x:v>-0.009591115041256587</x:v>
      </x:c>
      <x:c r="J223" s="36" t="str">
        <x:v>Leitura real — sequência serpentina</x:v>
      </x:c>
    </x:row>
    <x:row r="224">
      <x:c r="A224" s="40" t="n">
        <x:v>212</x:v>
      </x:c>
      <x:c r="B224" s="41" t="n">
        <x:v>0.95</x:v>
      </x:c>
      <x:c r="C224" s="41" t="n">
        <x:v>1</x:v>
      </x:c>
      <x:c r="D224" s="126" t="n">
        <x:v>12.994162644827002</x:v>
      </x:c>
      <x:c r="E224" s="126" t="n">
        <x:v>28.605837355173</x:v>
      </x:c>
      <x:c r="F224" s="127" t="n">
        <x:v>29.6</x:v>
      </x:c>
      <x:c r="G224" s="123" t="n">
        <x:v>12</x:v>
      </x:c>
      <x:c r="H224" s="123" t="n">
        <x:v>0.994162644827</x:v>
      </x:c>
      <x:c r="I224" s="122" t="n">
        <x:v>0.03475383826326686</x:v>
      </x:c>
      <x:c r="J224" s="36" t="str">
        <x:v>Leitura real — sequência serpentina</x:v>
      </x:c>
    </x:row>
    <x:row r="225">
      <x:c r="A225" s="40" t="n">
        <x:v>213</x:v>
      </x:c>
      <x:c r="B225" s="41" t="n">
        <x:v>1.2</x:v>
      </x:c>
      <x:c r="C225" s="41" t="n">
        <x:v>1</x:v>
      </x:c>
      <x:c r="D225" s="126" t="n">
        <x:v>13.118899133103625</x:v>
      </x:c>
      <x:c r="E225" s="126" t="n">
        <x:v>28.481100866896377</x:v>
      </x:c>
      <x:c r="F225" s="127" t="n">
        <x:v>30.2</x:v>
      </x:c>
      <x:c r="G225" s="123" t="n">
        <x:v>11.400000000000002</x:v>
      </x:c>
      <x:c r="H225" s="123" t="n">
        <x:v>1.7188991331036227</x:v>
      </x:c>
      <x:c r="I225" s="122" t="n">
        <x:v>0.06035227153391046</x:v>
      </x:c>
      <x:c r="J225" s="36" t="str">
        <x:v>Leitura real — sequência serpentina</x:v>
      </x:c>
    </x:row>
    <x:row r="226">
      <x:c r="A226" s="40" t="n">
        <x:v>214</x:v>
      </x:c>
      <x:c r="B226" s="41" t="n">
        <x:v>1.45</x:v>
      </x:c>
      <x:c r="C226" s="41" t="n">
        <x:v>1</x:v>
      </x:c>
      <x:c r="D226" s="126" t="n">
        <x:v>12.994162644827002</x:v>
      </x:c>
      <x:c r="E226" s="126" t="n">
        <x:v>28.605837355173</x:v>
      </x:c>
      <x:c r="F226" s="127" t="n">
        <x:v>27.5</x:v>
      </x:c>
      <x:c r="G226" s="123" t="n">
        <x:v>14.100000000000001</x:v>
      </x:c>
      <x:c r="H226" s="123" t="n">
        <x:v>-1.1058373551730014</x:v>
      </x:c>
      <x:c r="I226" s="122" t="n">
        <x:v>-0.03865775161351901</x:v>
      </x:c>
      <x:c r="J226" s="36" t="str">
        <x:v>Leitura real — sequência serpentina</x:v>
      </x:c>
    </x:row>
    <x:row r="227">
      <x:c r="A227" s="40" t="n">
        <x:v>215</x:v>
      </x:c>
      <x:c r="B227" s="41" t="n">
        <x:v>1.7</x:v>
      </x:c>
      <x:c r="C227" s="41" t="n">
        <x:v>1</x:v>
      </x:c>
      <x:c r="D227" s="126" t="n">
        <x:v>12.622069333318302</x:v>
      </x:c>
      <x:c r="E227" s="126" t="n">
        <x:v>28.9779306666817</x:v>
      </x:c>
      <x:c r="F227" s="127" t="n">
        <x:v>29.5</x:v>
      </x:c>
      <x:c r="G227" s="123" t="n">
        <x:v>12.100000000000001</x:v>
      </x:c>
      <x:c r="H227" s="123" t="n">
        <x:v>0.5220693333182993</x:v>
      </x:c>
      <x:c r="I227" s="122" t="n">
        <x:v>0.018016101264213637</x:v>
      </x:c>
      <x:c r="J227" s="36" t="str">
        <x:v>Leitura real — sequência serpentina</x:v>
      </x:c>
    </x:row>
    <x:row r="228">
      <x:c r="A228" s="40" t="n">
        <x:v>216</x:v>
      </x:c>
      <x:c r="B228" s="41" t="n">
        <x:v>1.95</x:v>
      </x:c>
      <x:c r="C228" s="41" t="n">
        <x:v>1</x:v>
      </x:c>
      <x:c r="D228" s="126" t="n">
        <x:v>12.014082071123966</x:v>
      </x:c>
      <x:c r="E228" s="126" t="n">
        <x:v>29.585917928876036</x:v>
      </x:c>
      <x:c r="F228" s="127" t="n">
        <x:v>30.1</x:v>
      </x:c>
      <x:c r="G228" s="123" t="n">
        <x:v>11.5</x:v>
      </x:c>
      <x:c r="H228" s="123" t="n">
        <x:v>0.5140820711239655</x:v>
      </x:c>
      <x:c r="I228" s="122" t="n">
        <x:v>0.017375904048669663</x:v>
      </x:c>
      <x:c r="J228" s="36" t="str">
        <x:v>Leitura real — sequência serpentina</x:v>
      </x:c>
    </x:row>
    <x:row r="229">
      <x:c r="A229" s="40" t="n">
        <x:v>217</x:v>
      </x:c>
      <x:c r="B229" s="41" t="n">
        <x:v>2.2</x:v>
      </x:c>
      <x:c r="C229" s="41" t="n">
        <x:v>1</x:v>
      </x:c>
      <x:c r="D229" s="126" t="n">
        <x:v>11.204742181349253</x:v>
      </x:c>
      <x:c r="E229" s="126" t="n">
        <x:v>30.395257818650748</x:v>
      </x:c>
      <x:c r="F229" s="127" t="n">
        <x:v>29.8</x:v>
      </x:c>
      <x:c r="G229" s="123" t="n">
        <x:v>11.8</x:v>
      </x:c>
      <x:c r="H229" s="123" t="n">
        <x:v>-0.5952578186507473</x:v>
      </x:c>
      <x:c r="I229" s="122" t="n">
        <x:v>-0.019583904245927892</x:v>
      </x:c>
      <x:c r="J229" s="36" t="str">
        <x:v>Leitura real — sequência serpentina</x:v>
      </x:c>
    </x:row>
    <x:row r="230">
      <x:c r="A230" s="40" t="n">
        <x:v>218</x:v>
      </x:c>
      <x:c r="B230" s="41" t="n">
        <x:v>2.45</x:v>
      </x:c>
      <x:c r="C230" s="41" t="n">
        <x:v>1</x:v>
      </x:c>
      <x:c r="D230" s="126" t="n">
        <x:v>10.26388032053689</x:v>
      </x:c>
      <x:c r="E230" s="126" t="n">
        <x:v>31.33611967946311</x:v>
      </x:c>
      <x:c r="F230" s="127" t="n">
        <x:v>30.8</x:v>
      </x:c>
      <x:c r="G230" s="123" t="n">
        <x:v>10.8</x:v>
      </x:c>
      <x:c r="H230" s="123" t="n">
        <x:v>-0.5361196794631091</x:v>
      </x:c>
      <x:c r="I230" s="122" t="n">
        <x:v>-0.017108681130499646</x:v>
      </x:c>
      <x:c r="J230" s="36" t="str">
        <x:v>Leitura real — sequência serpentina</x:v>
      </x:c>
    </x:row>
    <x:row r="231">
      <x:c r="A231" s="40" t="n">
        <x:v>219</x:v>
      </x:c>
      <x:c r="B231" s="41" t="n">
        <x:v>2.7</x:v>
      </x:c>
      <x:c r="C231" s="41" t="n">
        <x:v>1</x:v>
      </x:c>
      <x:c r="D231" s="126" t="n">
        <x:v>9.286728320755502</x:v>
      </x:c>
      <x:c r="E231" s="126" t="n">
        <x:v>32.3132716792445</x:v>
      </x:c>
      <x:c r="F231" s="127" t="n">
        <x:v>30.3</x:v>
      </x:c>
      <x:c r="G231" s="123" t="n">
        <x:v>11.3</x:v>
      </x:c>
      <x:c r="H231" s="123" t="n">
        <x:v>-2.0132716792445002</x:v>
      </x:c>
      <x:c r="I231" s="122" t="n">
        <x:v>-0.06230479226087364</x:v>
      </x:c>
      <x:c r="J231" s="36" t="str">
        <x:v>Leitura real — sequência serpentina</x:v>
      </x:c>
    </x:row>
    <x:row r="232">
      <x:c r="A232" s="40" t="n">
        <x:v>220</x:v>
      </x:c>
      <x:c r="B232" s="41" t="n">
        <x:v>2.95</x:v>
      </x:c>
      <x:c r="C232" s="41" t="n">
        <x:v>1</x:v>
      </x:c>
      <x:c r="D232" s="126" t="n">
        <x:v>8.358971955451157</x:v>
      </x:c>
      <x:c r="E232" s="126" t="n">
        <x:v>33.24102804454884</x:v>
      </x:c>
      <x:c r="F232" s="127" t="n">
        <x:v>31.9</x:v>
      </x:c>
      <x:c r="G232" s="123" t="n">
        <x:v>9.700000000000003</x:v>
      </x:c>
      <x:c r="H232" s="123" t="n">
        <x:v>-1.3410280445488425</x:v>
      </x:c>
      <x:c r="I232" s="122" t="n">
        <x:v>-0.040342556275685226</x:v>
      </x:c>
      <x:c r="J232" s="36" t="str">
        <x:v>Leitura real — sequência serpentina</x:v>
      </x:c>
    </x:row>
    <x:row r="233">
      <x:c r="A233" s="40" t="n">
        <x:v>221</x:v>
      </x:c>
      <x:c r="B233" s="41" t="n">
        <x:v>3.2</x:v>
      </x:c>
      <x:c r="C233" s="41" t="n">
        <x:v>1</x:v>
      </x:c>
      <x:c r="D233" s="126" t="n">
        <x:v>7.529421929159229</x:v>
      </x:c>
      <x:c r="E233" s="126" t="n">
        <x:v>34.070578070840774</x:v>
      </x:c>
      <x:c r="F233" s="127" t="n">
        <x:v>31.9</x:v>
      </x:c>
      <x:c r="G233" s="123" t="n">
        <x:v>9.700000000000003</x:v>
      </x:c>
      <x:c r="H233" s="123" t="n">
        <x:v>-2.170578070840776</x:v>
      </x:c>
      <x:c r="I233" s="122" t="n">
        <x:v>-0.06370828420720163</x:v>
      </x:c>
      <x:c r="J233" s="36" t="str">
        <x:v>Leitura real — sequência serpentina</x:v>
      </x:c>
    </x:row>
    <x:row r="234">
      <x:c r="A234" s="40" t="n">
        <x:v>222</x:v>
      </x:c>
      <x:c r="B234" s="41" t="n">
        <x:v>-0.8</x:v>
      </x:c>
      <x:c r="C234" s="41" t="n">
        <x:v>1.25</x:v>
      </x:c>
      <x:c r="D234" s="126" t="n">
        <x:v>7.012449725558648</x:v>
      </x:c>
      <x:c r="E234" s="126" t="n">
        <x:v>34.587550274441355</x:v>
      </x:c>
      <x:c r="F234" s="127" t="n">
        <x:v>36.2</x:v>
      </x:c>
      <x:c r="G234" s="123" t="n">
        <x:v>5.399999999999999</x:v>
      </x:c>
      <x:c r="H234" s="123" t="n">
        <x:v>1.6124497255586476</x:v>
      </x:c>
      <x:c r="I234" s="122" t="n">
        <x:v>0.046619367742565324</x:v>
      </x:c>
      <x:c r="J234" s="36" t="str">
        <x:v>Leitura real — sequência serpentina</x:v>
      </x:c>
    </x:row>
    <x:row r="235">
      <x:c r="A235" s="40" t="n">
        <x:v>223</x:v>
      </x:c>
      <x:c r="B235" s="41" t="n">
        <x:v>-0.55</x:v>
      </x:c>
      <x:c r="C235" s="41" t="n">
        <x:v>1.25</x:v>
      </x:c>
      <x:c r="D235" s="126" t="n">
        <x:v>7.660448173045555</x:v>
      </x:c>
      <x:c r="E235" s="126" t="n">
        <x:v>33.93955182695444</x:v>
      </x:c>
      <x:c r="F235" s="127" t="n">
        <x:v>35.4</x:v>
      </x:c>
      <x:c r="G235" s="123" t="n">
        <x:v>6.200000000000003</x:v>
      </x:c>
      <x:c r="H235" s="123" t="n">
        <x:v>1.460448173045556</x:v>
      </x:c>
      <x:c r="I235" s="122" t="n">
        <x:v>0.043030862060048865</x:v>
      </x:c>
      <x:c r="J235" s="36" t="str">
        <x:v>Leitura real — sequência serpentina</x:v>
      </x:c>
    </x:row>
    <x:row r="236">
      <x:c r="A236" s="40" t="n">
        <x:v>224</x:v>
      </x:c>
      <x:c r="B236" s="41" t="n">
        <x:v>-0.30000000000000004</x:v>
      </x:c>
      <x:c r="C236" s="41" t="n">
        <x:v>1.25</x:v>
      </x:c>
      <x:c r="D236" s="126" t="n">
        <x:v>8.35460295831064</x:v>
      </x:c>
      <x:c r="E236" s="126" t="n">
        <x:v>33.24539704168936</x:v>
      </x:c>
      <x:c r="F236" s="127" t="n">
        <x:v>31.5</x:v>
      </x:c>
      <x:c r="G236" s="123" t="n">
        <x:v>10.100000000000001</x:v>
      </x:c>
      <x:c r="H236" s="123" t="n">
        <x:v>-1.7453970416893583</x:v>
      </x:c>
      <x:c r="I236" s="122" t="n">
        <x:v>-0.05250041199690441</x:v>
      </x:c>
      <x:c r="J236" s="36" t="str">
        <x:v>Leitura real — sequência serpentina</x:v>
      </x:c>
    </x:row>
    <x:row r="237">
      <x:c r="A237" s="40" t="n">
        <x:v>225</x:v>
      </x:c>
      <x:c r="B237" s="41" t="n">
        <x:v>-0.050000000000000044</x:v>
      </x:c>
      <x:c r="C237" s="41" t="n">
        <x:v>1.25</x:v>
      </x:c>
      <x:c r="D237" s="126" t="n">
        <x:v>9.06024613715889</x:v>
      </x:c>
      <x:c r="E237" s="126" t="n">
        <x:v>32.53975386284111</x:v>
      </x:c>
      <x:c r="F237" s="127" t="n">
        <x:v>36.3</x:v>
      </x:c>
      <x:c r="G237" s="123" t="n">
        <x:v>5.300000000000004</x:v>
      </x:c>
      <x:c r="H237" s="123" t="n">
        <x:v>3.7602461371588873</x:v>
      </x:c>
      <x:c r="I237" s="122" t="n">
        <x:v>0.11555853043660892</x:v>
      </x:c>
      <x:c r="J237" s="36" t="str">
        <x:v>Leitura real — sequência serpentina</x:v>
      </x:c>
    </x:row>
    <x:row r="238">
      <x:c r="A238" s="40" t="n">
        <x:v>226</x:v>
      </x:c>
      <x:c r="B238" s="41" t="n">
        <x:v>0.19999999999999996</x:v>
      </x:c>
      <x:c r="C238" s="41" t="n">
        <x:v>1.25</x:v>
      </x:c>
      <x:c r="D238" s="126" t="n">
        <x:v>9.72730517850367</x:v>
      </x:c>
      <x:c r="E238" s="126" t="n">
        <x:v>31.87269482149633</x:v>
      </x:c>
      <x:c r="F238" s="127" t="n">
        <x:v>34.6</x:v>
      </x:c>
      <x:c r="G238" s="123" t="n">
        <x:v>7</x:v>
      </x:c>
      <x:c r="H238" s="123" t="n">
        <x:v>2.72730517850367</x:v>
      </x:c>
      <x:c r="I238" s="122" t="n">
        <x:v>0.0855687036749794</x:v>
      </x:c>
      <x:c r="J238" s="36" t="str">
        <x:v>Leitura real — sequência serpentina</x:v>
      </x:c>
    </x:row>
    <x:row r="239">
      <x:c r="A239" s="40" t="n">
        <x:v>227</x:v>
      </x:c>
      <x:c r="B239" s="41" t="n">
        <x:v>0.44999999999999996</x:v>
      </x:c>
      <x:c r="C239" s="41" t="n">
        <x:v>1.25</x:v>
      </x:c>
      <x:c r="D239" s="126" t="n">
        <x:v>10.301703424990466</x:v>
      </x:c>
      <x:c r="E239" s="126" t="n">
        <x:v>31.298296575009537</x:v>
      </x:c>
      <x:c r="F239" s="127" t="n">
        <x:v>34.1</x:v>
      </x:c>
      <x:c r="G239" s="123" t="n">
        <x:v>7.5</x:v>
      </x:c>
      <x:c r="H239" s="123" t="n">
        <x:v>2.801703424990464</x:v>
      </x:c>
      <x:c r="I239" s="122" t="n">
        <x:v>0.08951616322875265</x:v>
      </x:c>
      <x:c r="J239" s="36" t="str">
        <x:v>Leitura real — sequência serpentina</x:v>
      </x:c>
    </x:row>
    <x:row r="240">
      <x:c r="A240" s="40" t="n">
        <x:v>228</x:v>
      </x:c>
      <x:c r="B240" s="41" t="n">
        <x:v>0.7</x:v>
      </x:c>
      <x:c r="C240" s="41" t="n">
        <x:v>1.25</x:v>
      </x:c>
      <x:c r="D240" s="126" t="n">
        <x:v>10.738952359298466</x:v>
      </x:c>
      <x:c r="E240" s="126" t="n">
        <x:v>30.861047640701535</x:v>
      </x:c>
      <x:c r="F240" s="127" t="n">
        <x:v>33.8</x:v>
      </x:c>
      <x:c r="G240" s="123" t="n">
        <x:v>7.800000000000004</x:v>
      </x:c>
      <x:c r="H240" s="123" t="n">
        <x:v>2.9389523592984617</x:v>
      </x:c>
      <x:c r="I240" s="122" t="n">
        <x:v>0.09523177545736919</x:v>
      </x:c>
      <x:c r="J240" s="36" t="str">
        <x:v>Leitura real — sequência serpentina</x:v>
      </x:c>
    </x:row>
    <x:row r="241">
      <x:c r="A241" s="40" t="n">
        <x:v>229</x:v>
      </x:c>
      <x:c r="B241" s="41" t="n">
        <x:v>0.95</x:v>
      </x:c>
      <x:c r="C241" s="41" t="n">
        <x:v>1.25</x:v>
      </x:c>
      <x:c r="D241" s="126" t="n">
        <x:v>11.010596275392377</x:v>
      </x:c>
      <x:c r="E241" s="126" t="n">
        <x:v>30.589403724607624</x:v>
      </x:c>
      <x:c r="F241" s="127" t="n">
        <x:v>30.6</x:v>
      </x:c>
      <x:c r="G241" s="123" t="n">
        <x:v>11</x:v>
      </x:c>
      <x:c r="H241" s="123" t="n">
        <x:v>0.010596275392376953</x:v>
      </x:c>
      <x:c r="I241" s="122" t="n">
        <x:v>0.00034640346336181724</x:v>
      </x:c>
      <x:c r="J241" s="36" t="str">
        <x:v>Leitura real — sequência serpentina</x:v>
      </x:c>
    </x:row>
    <x:row r="242">
      <x:c r="A242" s="40" t="n">
        <x:v>230</x:v>
      </x:c>
      <x:c r="B242" s="41" t="n">
        <x:v>1.2</x:v>
      </x:c>
      <x:c r="C242" s="41" t="n">
        <x:v>1.25</x:v>
      </x:c>
      <x:c r="D242" s="126" t="n">
        <x:v>11.10249978838372</x:v>
      </x:c>
      <x:c r="E242" s="126" t="n">
        <x:v>30.49750021161628</x:v>
      </x:c>
      <x:c r="F242" s="127" t="n">
        <x:v>30.6</x:v>
      </x:c>
      <x:c r="G242" s="123" t="n">
        <x:v>11</x:v>
      </x:c>
      <x:c r="H242" s="123" t="n">
        <x:v>0.10249978838372087</x:v>
      </x:c>
      <x:c r="I242" s="122" t="n">
        <x:v>0.003360924261742588</x:v>
      </x:c>
      <x:c r="J242" s="36" t="str">
        <x:v>Leitura real — sequência serpentina</x:v>
      </x:c>
    </x:row>
    <x:row r="243">
      <x:c r="A243" s="40" t="n">
        <x:v>231</x:v>
      </x:c>
      <x:c r="B243" s="41" t="n">
        <x:v>1.45</x:v>
      </x:c>
      <x:c r="C243" s="41" t="n">
        <x:v>1.25</x:v>
      </x:c>
      <x:c r="D243" s="126" t="n">
        <x:v>11.010596275392377</x:v>
      </x:c>
      <x:c r="E243" s="126" t="n">
        <x:v>30.589403724607624</x:v>
      </x:c>
      <x:c r="F243" s="127" t="n">
        <x:v>29.2</x:v>
      </x:c>
      <x:c r="G243" s="123" t="n">
        <x:v>12.400000000000002</x:v>
      </x:c>
      <x:c r="H243" s="123" t="n">
        <x:v>-1.3894037246076252</x:v>
      </x:c>
      <x:c r="I243" s="122" t="n">
        <x:v>-0.04542107904803389</x:v>
      </x:c>
      <x:c r="J243" s="36" t="str">
        <x:v>Leitura real — sequência serpentina</x:v>
      </x:c>
    </x:row>
    <x:row r="244">
      <x:c r="A244" s="40" t="n">
        <x:v>232</x:v>
      </x:c>
      <x:c r="B244" s="41" t="n">
        <x:v>1.7</x:v>
      </x:c>
      <x:c r="C244" s="41" t="n">
        <x:v>1.25</x:v>
      </x:c>
      <x:c r="D244" s="126" t="n">
        <x:v>10.738952359298466</x:v>
      </x:c>
      <x:c r="E244" s="126" t="n">
        <x:v>30.861047640701535</x:v>
      </x:c>
      <x:c r="F244" s="127" t="n">
        <x:v>30.1</x:v>
      </x:c>
      <x:c r="G244" s="123" t="n">
        <x:v>11.5</x:v>
      </x:c>
      <x:c r="H244" s="123" t="n">
        <x:v>-0.7610476407015341</x:v>
      </x:c>
      <x:c r="I244" s="122" t="n">
        <x:v>-0.0246604603175498</x:v>
      </x:c>
      <x:c r="J244" s="36" t="str">
        <x:v>Leitura real — sequência serpentina</x:v>
      </x:c>
    </x:row>
    <x:row r="245">
      <x:c r="A245" s="40" t="n">
        <x:v>233</x:v>
      </x:c>
      <x:c r="B245" s="41" t="n">
        <x:v>1.95</x:v>
      </x:c>
      <x:c r="C245" s="41" t="n">
        <x:v>1.25</x:v>
      </x:c>
      <x:c r="D245" s="126" t="n">
        <x:v>10.301703424990466</x:v>
      </x:c>
      <x:c r="E245" s="126" t="n">
        <x:v>31.298296575009537</x:v>
      </x:c>
      <x:c r="F245" s="127" t="n">
        <x:v>30.6</x:v>
      </x:c>
      <x:c r="G245" s="123" t="n">
        <x:v>11</x:v>
      </x:c>
      <x:c r="H245" s="123" t="n">
        <x:v>-0.698296575009536</x:v>
      </x:c>
      <x:c r="I245" s="122" t="n">
        <x:v>-0.02231100895015157</x:v>
      </x:c>
      <x:c r="J245" s="36" t="str">
        <x:v>Leitura real — sequência serpentina</x:v>
      </x:c>
    </x:row>
    <x:row r="246">
      <x:c r="A246" s="40" t="n">
        <x:v>234</x:v>
      </x:c>
      <x:c r="B246" s="41" t="n">
        <x:v>2.2</x:v>
      </x:c>
      <x:c r="C246" s="41" t="n">
        <x:v>1.25</x:v>
      </x:c>
      <x:c r="D246" s="126" t="n">
        <x:v>9.727305178503668</x:v>
      </x:c>
      <x:c r="E246" s="126" t="n">
        <x:v>31.87269482149633</x:v>
      </x:c>
      <x:c r="F246" s="127" t="n">
        <x:v>32</x:v>
      </x:c>
      <x:c r="G246" s="123" t="n">
        <x:v>9.600000000000001</x:v>
      </x:c>
      <x:c r="H246" s="123" t="n">
        <x:v>0.12730517850366851</x:v>
      </x:c>
      <x:c r="I246" s="122" t="n">
        <x:v>0.003994176809229459</x:v>
      </x:c>
      <x:c r="J246" s="36" t="str">
        <x:v>Leitura real — sequência serpentina</x:v>
      </x:c>
    </x:row>
    <x:row r="247">
      <x:c r="A247" s="40" t="n">
        <x:v>235</x:v>
      </x:c>
      <x:c r="B247" s="41" t="n">
        <x:v>2.45</x:v>
      </x:c>
      <x:c r="C247" s="41" t="n">
        <x:v>1.25</x:v>
      </x:c>
      <x:c r="D247" s="126" t="n">
        <x:v>9.060246137158888</x:v>
      </x:c>
      <x:c r="E247" s="126" t="n">
        <x:v>32.53975386284111</x:v>
      </x:c>
      <x:c r="F247" s="127" t="n">
        <x:v>33.6</x:v>
      </x:c>
      <x:c r="G247" s="123" t="n">
        <x:v>8</x:v>
      </x:c>
      <x:c r="H247" s="123" t="n">
        <x:v>1.0602461371588916</x:v>
      </x:c>
      <x:c r="I247" s="122" t="n">
        <x:v>0.03258310255289434</x:v>
      </x:c>
      <x:c r="J247" s="36" t="str">
        <x:v>Leitura real — sequência serpentina</x:v>
      </x:c>
    </x:row>
    <x:row r="248">
      <x:c r="A248" s="40" t="n">
        <x:v>236</x:v>
      </x:c>
      <x:c r="B248" s="41" t="n">
        <x:v>2.7</x:v>
      </x:c>
      <x:c r="C248" s="41" t="n">
        <x:v>1.25</x:v>
      </x:c>
      <x:c r="D248" s="126" t="n">
        <x:v>8.35460295831064</x:v>
      </x:c>
      <x:c r="E248" s="126" t="n">
        <x:v>33.24539704168936</x:v>
      </x:c>
      <x:c r="F248" s="127" t="n">
        <x:v>32.8</x:v>
      </x:c>
      <x:c r="G248" s="123" t="n">
        <x:v>8.800000000000004</x:v>
      </x:c>
      <x:c r="H248" s="123" t="n">
        <x:v>-0.4453970416893611</x:v>
      </x:c>
      <x:c r="I248" s="122" t="n">
        <x:v>-0.013397254396776737</x:v>
      </x:c>
      <x:c r="J248" s="36" t="str">
        <x:v>Leitura real — sequência serpentina</x:v>
      </x:c>
    </x:row>
    <x:row r="249">
      <x:c r="A249" s="40" t="n">
        <x:v>237</x:v>
      </x:c>
      <x:c r="B249" s="41" t="n">
        <x:v>2.95</x:v>
      </x:c>
      <x:c r="C249" s="41" t="n">
        <x:v>1.25</x:v>
      </x:c>
      <x:c r="D249" s="126" t="n">
        <x:v>7.660448173045555</x:v>
      </x:c>
      <x:c r="E249" s="126" t="n">
        <x:v>33.93955182695444</x:v>
      </x:c>
      <x:c r="F249" s="127" t="n">
        <x:v>33.5</x:v>
      </x:c>
      <x:c r="G249" s="123" t="n">
        <x:v>8.100000000000001</x:v>
      </x:c>
      <x:c r="H249" s="123" t="n">
        <x:v>-0.4395518269544425</x:v>
      </x:c>
      <x:c r="I249" s="122" t="n">
        <x:v>-0.01295102036690287</x:v>
      </x:c>
      <x:c r="J249" s="36" t="str">
        <x:v>Leitura real — sequência serpentina</x:v>
      </x:c>
    </x:row>
    <x:row r="250">
      <x:c r="A250" s="40" t="n">
        <x:v>238</x:v>
      </x:c>
      <x:c r="B250" s="41" t="n">
        <x:v>3.2</x:v>
      </x:c>
      <x:c r="C250" s="41" t="n">
        <x:v>1.25</x:v>
      </x:c>
      <x:c r="D250" s="126" t="n">
        <x:v>7.012449725558648</x:v>
      </x:c>
      <x:c r="E250" s="126" t="n">
        <x:v>34.587550274441355</x:v>
      </x:c>
      <x:c r="F250" s="127" t="n">
        <x:v>34</x:v>
      </x:c>
      <x:c r="G250" s="123" t="n">
        <x:v>7.600000000000001</x:v>
      </x:c>
      <x:c r="H250" s="123" t="n">
        <x:v>-0.5875502744413552</x:v>
      </x:c>
      <x:c r="I250" s="122" t="n">
        <x:v>-0.016987334164441488</x:v>
      </x:c>
      <x:c r="J250" s="36" t="str">
        <x:v>Leitura real — sequência serpentina</x:v>
      </x:c>
    </x:row>
    <x:row r="251">
      <x:c r="A251" s="40" t="n">
        <x:v>239</x:v>
      </x:c>
      <x:c r="B251" s="41" t="n">
        <x:v>-0.8</x:v>
      </x:c>
      <x:c r="C251" s="41" t="n">
        <x:v>1.5</x:v>
      </x:c>
      <x:c r="D251" s="126" t="n">
        <x:v>6.524938525054826</x:v>
      </x:c>
      <x:c r="E251" s="126" t="n">
        <x:v>35.07506147494517</x:v>
      </x:c>
      <x:c r="F251" s="127" t="n">
        <x:v>36.2</x:v>
      </x:c>
      <x:c r="G251" s="123" t="n">
        <x:v>5.399999999999999</x:v>
      </x:c>
      <x:c r="H251" s="123" t="n">
        <x:v>1.12493852505483</x:v>
      </x:c>
      <x:c r="I251" s="122" t="n">
        <x:v>0.03207231798747941</x:v>
      </x:c>
      <x:c r="J251" s="36" t="str">
        <x:v>Leitura real — sequência serpentina</x:v>
      </x:c>
    </x:row>
    <x:row r="252">
      <x:c r="A252" s="40" t="n">
        <x:v>240</x:v>
      </x:c>
      <x:c r="B252" s="41" t="n">
        <x:v>-0.55</x:v>
      </x:c>
      <x:c r="C252" s="41" t="n">
        <x:v>1.5</x:v>
      </x:c>
      <x:c r="D252" s="126" t="n">
        <x:v>7.0358357175172666</x:v>
      </x:c>
      <x:c r="E252" s="126" t="n">
        <x:v>34.564164282482736</x:v>
      </x:c>
      <x:c r="F252" s="127" t="n">
        <x:v>38.6</x:v>
      </x:c>
      <x:c r="G252" s="123" t="n">
        <x:v>3</x:v>
      </x:c>
      <x:c r="H252" s="123" t="n">
        <x:v>4.035835717517266</x:v>
      </x:c>
      <x:c r="I252" s="122" t="n">
        <x:v>0.11676358451873937</x:v>
      </x:c>
      <x:c r="J252" s="36" t="str">
        <x:v>Leitura real — sequência serpentina</x:v>
      </x:c>
    </x:row>
    <x:row r="253">
      <x:c r="A253" s="40" t="n">
        <x:v>241</x:v>
      </x:c>
      <x:c r="B253" s="41" t="n">
        <x:v>-0.30000000000000004</x:v>
      </x:c>
      <x:c r="C253" s="41" t="n">
        <x:v>1.5</x:v>
      </x:c>
      <x:c r="D253" s="126" t="n">
        <x:v>7.5661138232051925</x:v>
      </x:c>
      <x:c r="E253" s="126" t="n">
        <x:v>34.03388617679481</x:v>
      </x:c>
      <x:c r="F253" s="127" t="n">
        <x:v>38.7</x:v>
      </x:c>
      <x:c r="G253" s="123" t="n">
        <x:v>2.8999999999999986</x:v>
      </x:c>
      <x:c r="H253" s="123" t="n">
        <x:v>4.666113823205194</x:v>
      </x:c>
      <x:c r="I253" s="122" t="n">
        <x:v>0.13710199884216195</x:v>
      </x:c>
      <x:c r="J253" s="36" t="str">
        <x:v>Leitura real — sequência serpentina</x:v>
      </x:c>
    </x:row>
    <x:row r="254">
      <x:c r="A254" s="40" t="n">
        <x:v>242</x:v>
      </x:c>
      <x:c r="B254" s="41" t="n">
        <x:v>-0.050000000000000044</x:v>
      </x:c>
      <x:c r="C254" s="41" t="n">
        <x:v>1.5</x:v>
      </x:c>
      <x:c r="D254" s="126" t="n">
        <x:v>8.09137830008901</x:v>
      </x:c>
      <x:c r="E254" s="126" t="n">
        <x:v>33.50862169991099</x:v>
      </x:c>
      <x:c r="F254" s="127" t="n">
        <x:v>35.4</x:v>
      </x:c>
      <x:c r="G254" s="123" t="n">
        <x:v>6.200000000000003</x:v>
      </x:c>
      <x:c r="H254" s="123" t="n">
        <x:v>1.8913783000890092</x:v>
      </x:c>
      <x:c r="I254" s="122" t="n">
        <x:v>0.05644452693481073</x:v>
      </x:c>
      <x:c r="J254" s="36" t="str">
        <x:v>Leitura real — sequência serpentina</x:v>
      </x:c>
    </x:row>
    <x:row r="255">
      <x:c r="A255" s="40" t="n">
        <x:v>243</x:v>
      </x:c>
      <x:c r="B255" s="41" t="n">
        <x:v>0.19999999999999996</x:v>
      </x:c>
      <x:c r="C255" s="41" t="n">
        <x:v>1.5</x:v>
      </x:c>
      <x:c r="D255" s="126" t="n">
        <x:v>8.580052592289661</x:v>
      </x:c>
      <x:c r="E255" s="126" t="n">
        <x:v>33.01994740771034</x:v>
      </x:c>
      <x:c r="F255" s="127" t="n">
        <x:v>34.3</x:v>
      </x:c>
      <x:c r="G255" s="123" t="n">
        <x:v>7.300000000000004</x:v>
      </x:c>
      <x:c r="H255" s="123" t="n">
        <x:v>1.2800525922896568</x:v>
      </x:c>
      <x:c r="I255" s="122" t="n">
        <x:v>0.03876603970576759</x:v>
      </x:c>
      <x:c r="J255" s="36" t="str">
        <x:v>Leitura real — sequência serpentina</x:v>
      </x:c>
    </x:row>
    <x:row r="256">
      <x:c r="A256" s="40" t="n">
        <x:v>244</x:v>
      </x:c>
      <x:c r="B256" s="41" t="n">
        <x:v>0.44999999999999996</x:v>
      </x:c>
      <x:c r="C256" s="41" t="n">
        <x:v>1.5</x:v>
      </x:c>
      <x:c r="D256" s="126" t="n">
        <x:v>8.998733262196703</x:v>
      </x:c>
      <x:c r="E256" s="126" t="n">
        <x:v>32.6012667378033</x:v>
      </x:c>
      <x:c r="F256" s="127" t="n">
        <x:v>30.9</x:v>
      </x:c>
      <x:c r="G256" s="123" t="n">
        <x:v>10.700000000000003</x:v>
      </x:c>
      <x:c r="H256" s="123" t="n">
        <x:v>-1.7012667378033015</x:v>
      </x:c>
      <x:c r="I256" s="122" t="n">
        <x:v>-0.05218406853591893</x:v>
      </x:c>
      <x:c r="J256" s="36" t="str">
        <x:v>Leitura real — sequência serpentina</x:v>
      </x:c>
    </x:row>
    <x:row r="257">
      <x:c r="A257" s="40" t="n">
        <x:v>245</x:v>
      </x:c>
      <x:c r="B257" s="41" t="n">
        <x:v>0.7</x:v>
      </x:c>
      <x:c r="C257" s="41" t="n">
        <x:v>1.5</x:v>
      </x:c>
      <x:c r="D257" s="126" t="n">
        <x:v>9.318351449572585</x:v>
      </x:c>
      <x:c r="E257" s="126" t="n">
        <x:v>32.28164855042742</x:v>
      </x:c>
      <x:c r="F257" s="127" t="n">
        <x:v>30.6</x:v>
      </x:c>
      <x:c r="G257" s="123" t="n">
        <x:v>11</x:v>
      </x:c>
      <x:c r="H257" s="123" t="n">
        <x:v>-1.6816485504274183</x:v>
      </x:c>
      <x:c r="I257" s="122" t="n">
        <x:v>-0.05209301959286564</x:v>
      </x:c>
      <x:c r="J257" s="36" t="str">
        <x:v>Leitura real — sequência serpentina</x:v>
      </x:c>
    </x:row>
    <x:row r="258">
      <x:c r="A258" s="40" t="n">
        <x:v>246</x:v>
      </x:c>
      <x:c r="B258" s="41" t="n">
        <x:v>0.95</x:v>
      </x:c>
      <x:c r="C258" s="41" t="n">
        <x:v>1.5</x:v>
      </x:c>
      <x:c r="D258" s="126" t="n">
        <x:v>9.518036154942646</x:v>
      </x:c>
      <x:c r="E258" s="126" t="n">
        <x:v>32.08196384505736</x:v>
      </x:c>
      <x:c r="F258" s="127" t="n">
        <x:v>33.3</x:v>
      </x:c>
      <x:c r="G258" s="123" t="n">
        <x:v>8.300000000000004</x:v>
      </x:c>
      <x:c r="H258" s="123" t="n">
        <x:v>1.218036154942638</x:v>
      </x:c>
      <x:c r="I258" s="122" t="n">
        <x:v>0.03796638387928026</x:v>
      </x:c>
      <x:c r="J258" s="36" t="str">
        <x:v>Leitura real — sequência serpentina</x:v>
      </x:c>
    </x:row>
    <x:row r="259">
      <x:c r="A259" s="40" t="n">
        <x:v>247</x:v>
      </x:c>
      <x:c r="B259" s="41" t="n">
        <x:v>1.2</x:v>
      </x:c>
      <x:c r="C259" s="41" t="n">
        <x:v>1.5</x:v>
      </x:c>
      <x:c r="D259" s="126" t="n">
        <x:v>9.585864249236044</x:v>
      </x:c>
      <x:c r="E259" s="126" t="n">
        <x:v>32.014135750763955</x:v>
      </x:c>
      <x:c r="F259" s="127" t="n">
        <x:v>32</x:v>
      </x:c>
      <x:c r="G259" s="123" t="n">
        <x:v>9.600000000000001</x:v>
      </x:c>
      <x:c r="H259" s="123" t="n">
        <x:v>-0.014135750763955457</x:v>
      </x:c>
      <x:c r="I259" s="122" t="n">
        <x:v>-0.00044154716135412573</x:v>
      </x:c>
      <x:c r="J259" s="36" t="str">
        <x:v>Leitura real — sequência serpentina</x:v>
      </x:c>
    </x:row>
    <x:row r="260">
      <x:c r="A260" s="40" t="n">
        <x:v>248</x:v>
      </x:c>
      <x:c r="B260" s="41" t="n">
        <x:v>1.45</x:v>
      </x:c>
      <x:c r="C260" s="41" t="n">
        <x:v>1.5</x:v>
      </x:c>
      <x:c r="D260" s="126" t="n">
        <x:v>9.518036154942646</x:v>
      </x:c>
      <x:c r="E260" s="126" t="n">
        <x:v>32.08196384505736</x:v>
      </x:c>
      <x:c r="F260" s="127" t="n">
        <x:v>30</x:v>
      </x:c>
      <x:c r="G260" s="123" t="n">
        <x:v>11.600000000000001</x:v>
      </x:c>
      <x:c r="H260" s="123" t="n">
        <x:v>-2.081963845057359</x:v>
      </x:c>
      <x:c r="I260" s="122" t="n">
        <x:v>-0.06489514965830599</x:v>
      </x:c>
      <x:c r="J260" s="36" t="str">
        <x:v>Leitura real — sequência serpentina</x:v>
      </x:c>
    </x:row>
    <x:row r="261">
      <x:c r="A261" s="40" t="n">
        <x:v>249</x:v>
      </x:c>
      <x:c r="B261" s="41" t="n">
        <x:v>1.7</x:v>
      </x:c>
      <x:c r="C261" s="41" t="n">
        <x:v>1.5</x:v>
      </x:c>
      <x:c r="D261" s="126" t="n">
        <x:v>9.318351449572585</x:v>
      </x:c>
      <x:c r="E261" s="126" t="n">
        <x:v>32.28164855042742</x:v>
      </x:c>
      <x:c r="F261" s="127" t="n">
        <x:v>32.1</x:v>
      </x:c>
      <x:c r="G261" s="123" t="n">
        <x:v>9.5</x:v>
      </x:c>
      <x:c r="H261" s="123" t="n">
        <x:v>-0.18164855042741834</x:v>
      </x:c>
      <x:c r="I261" s="122" t="n">
        <x:v>-0.005626991141535529</x:v>
      </x:c>
      <x:c r="J261" s="36" t="str">
        <x:v>Leitura real — sequência serpentina</x:v>
      </x:c>
    </x:row>
    <x:row r="262">
      <x:c r="A262" s="40" t="n">
        <x:v>250</x:v>
      </x:c>
      <x:c r="B262" s="41" t="n">
        <x:v>1.95</x:v>
      </x:c>
      <x:c r="C262" s="41" t="n">
        <x:v>1.5</x:v>
      </x:c>
      <x:c r="D262" s="126" t="n">
        <x:v>8.998733262196703</x:v>
      </x:c>
      <x:c r="E262" s="126" t="n">
        <x:v>32.6012667378033</x:v>
      </x:c>
      <x:c r="F262" s="127" t="n">
        <x:v>33.2</x:v>
      </x:c>
      <x:c r="G262" s="123" t="n">
        <x:v>8.399999999999999</x:v>
      </x:c>
      <x:c r="H262" s="123" t="n">
        <x:v>0.5987332621967028</x:v>
      </x:c>
      <x:c r="I262" s="122" t="n">
        <x:v>0.018365337365938372</x:v>
      </x:c>
      <x:c r="J262" s="36" t="str">
        <x:v>Leitura real — sequência serpentina</x:v>
      </x:c>
    </x:row>
    <x:row r="263">
      <x:c r="A263" s="40" t="n">
        <x:v>251</x:v>
      </x:c>
      <x:c r="B263" s="41" t="n">
        <x:v>2.2</x:v>
      </x:c>
      <x:c r="C263" s="41" t="n">
        <x:v>1.5</x:v>
      </x:c>
      <x:c r="D263" s="126" t="n">
        <x:v>8.580052592289661</x:v>
      </x:c>
      <x:c r="E263" s="126" t="n">
        <x:v>33.01994740771034</x:v>
      </x:c>
      <x:c r="F263" s="127" t="n">
        <x:v>34.6</x:v>
      </x:c>
      <x:c r="G263" s="123" t="n">
        <x:v>7</x:v>
      </x:c>
      <x:c r="H263" s="123" t="n">
        <x:v>1.580052592289661</x:v>
      </x:c>
      <x:c r="I263" s="122" t="n">
        <x:v>0.047851456962669486</x:v>
      </x:c>
      <x:c r="J263" s="36" t="str">
        <x:v>Leitura real — sequência serpentina</x:v>
      </x:c>
    </x:row>
    <x:row r="264">
      <x:c r="A264" s="40" t="n">
        <x:v>252</x:v>
      </x:c>
      <x:c r="B264" s="41" t="n">
        <x:v>2.45</x:v>
      </x:c>
      <x:c r="C264" s="41" t="n">
        <x:v>1.5</x:v>
      </x:c>
      <x:c r="D264" s="126" t="n">
        <x:v>8.09137830008901</x:v>
      </x:c>
      <x:c r="E264" s="126" t="n">
        <x:v>33.50862169991099</x:v>
      </x:c>
      <x:c r="F264" s="127" t="n">
        <x:v>33.3</x:v>
      </x:c>
      <x:c r="G264" s="123" t="n">
        <x:v>8.300000000000004</x:v>
      </x:c>
      <x:c r="H264" s="123" t="n">
        <x:v>-0.20862169991099222</x:v>
      </x:c>
      <x:c r="I264" s="122" t="n">
        <x:v>-0.006225911103695035</x:v>
      </x:c>
      <x:c r="J264" s="36" t="str">
        <x:v>Leitura real — sequência serpentina</x:v>
      </x:c>
    </x:row>
    <x:row r="265">
      <x:c r="A265" s="40" t="n">
        <x:v>253</x:v>
      </x:c>
      <x:c r="B265" s="41" t="n">
        <x:v>2.7</x:v>
      </x:c>
      <x:c r="C265" s="41" t="n">
        <x:v>1.5</x:v>
      </x:c>
      <x:c r="D265" s="126" t="n">
        <x:v>7.566113823205192</x:v>
      </x:c>
      <x:c r="E265" s="126" t="n">
        <x:v>34.03388617679481</x:v>
      </x:c>
      <x:c r="F265" s="127" t="n">
        <x:v>33.6</x:v>
      </x:c>
      <x:c r="G265" s="123" t="n">
        <x:v>8</x:v>
      </x:c>
      <x:c r="H265" s="123" t="n">
        <x:v>-0.43388617679480745</x:v>
      </x:c>
      <x:c r="I265" s="122" t="n">
        <x:v>-0.012748652168045457</x:v>
      </x:c>
      <x:c r="J265" s="36" t="str">
        <x:v>Leitura real — sequência serpentina</x:v>
      </x:c>
    </x:row>
    <x:row r="266">
      <x:c r="A266" s="40" t="n">
        <x:v>254</x:v>
      </x:c>
      <x:c r="B266" s="41" t="n">
        <x:v>2.95</x:v>
      </x:c>
      <x:c r="C266" s="41" t="n">
        <x:v>1.5</x:v>
      </x:c>
      <x:c r="D266" s="126" t="n">
        <x:v>7.035835717517265</x:v>
      </x:c>
      <x:c r="E266" s="126" t="n">
        <x:v>34.564164282482736</x:v>
      </x:c>
      <x:c r="F266" s="127" t="n">
        <x:v>34.5</x:v>
      </x:c>
      <x:c r="G266" s="123" t="n">
        <x:v>7.100000000000001</x:v>
      </x:c>
      <x:c r="H266" s="123" t="n">
        <x:v>-0.06416428248273576</x:v>
      </x:c>
      <x:c r="I266" s="122" t="n">
        <x:v>-0.0018563817125257238</x:v>
      </x:c>
      <x:c r="J266" s="36" t="str">
        <x:v>Leitura real — sequência serpentina</x:v>
      </x:c>
    </x:row>
    <x:row r="267">
      <x:c r="A267" s="40" t="n">
        <x:v>255</x:v>
      </x:c>
      <x:c r="B267" s="41" t="n">
        <x:v>3.2</x:v>
      </x:c>
      <x:c r="C267" s="41" t="n">
        <x:v>1.5</x:v>
      </x:c>
      <x:c r="D267" s="126" t="n">
        <x:v>6.524938525054826</x:v>
      </x:c>
      <x:c r="E267" s="126" t="n">
        <x:v>35.07506147494517</x:v>
      </x:c>
      <x:c r="F267" s="127" t="n">
        <x:v>35.3</x:v>
      </x:c>
      <x:c r="G267" s="123" t="n">
        <x:v>6.300000000000004</x:v>
      </x:c>
      <x:c r="H267" s="123" t="n">
        <x:v>0.22493852505482437</x:v>
      </x:c>
      <x:c r="I267" s="122" t="n">
        <x:v>0.006413061462928654</x:v>
      </x:c>
      <x:c r="J267" s="36" t="str">
        <x:v>Leitura real — sequência serpentina</x:v>
      </x:c>
    </x:row>
    <x:row r="268">
      <x:c r="A268" s="40" t="n">
        <x:v>256</x:v>
      </x:c>
      <x:c r="B268" s="41" t="n">
        <x:v>-0.8</x:v>
      </x:c>
      <x:c r="C268" s="41" t="n">
        <x:v>1.75</x:v>
      </x:c>
      <x:c r="D268" s="126" t="n">
        <x:v>6.075995678677936</x:v>
      </x:c>
      <x:c r="E268" s="126" t="n">
        <x:v>35.52400432132207</x:v>
      </x:c>
      <x:c r="F268" s="127" t="n">
        <x:v>38.2</x:v>
      </x:c>
      <x:c r="G268" s="123" t="n">
        <x:v>3.3999999999999986</x:v>
      </x:c>
      <x:c r="H268" s="123" t="n">
        <x:v>2.6759956786779355</x:v>
      </x:c>
      <x:c r="I268" s="122" t="n">
        <x:v>0.07532922399380974</x:v>
      </x:c>
      <x:c r="J268" s="36" t="str">
        <x:v>Leitura real — sequência serpentina</x:v>
      </x:c>
    </x:row>
    <x:row r="269">
      <x:c r="A269" s="40" t="n">
        <x:v>257</x:v>
      </x:c>
      <x:c r="B269" s="41" t="n">
        <x:v>-0.55</x:v>
      </x:c>
      <x:c r="C269" s="41" t="n">
        <x:v>1.75</x:v>
      </x:c>
      <x:c r="D269" s="126" t="n">
        <x:v>6.483127118749655</x:v>
      </x:c>
      <x:c r="E269" s="126" t="n">
        <x:v>35.116872881250345</x:v>
      </x:c>
      <x:c r="F269" s="127" t="n">
        <x:v>36.3</x:v>
      </x:c>
      <x:c r="G269" s="123" t="n">
        <x:v>5.300000000000004</x:v>
      </x:c>
      <x:c r="H269" s="123" t="n">
        <x:v>1.1831271187496526</x:v>
      </x:c>
      <x:c r="I269" s="122" t="n">
        <x:v>0.03369112969570106</x:v>
      </x:c>
      <x:c r="J269" s="36" t="str">
        <x:v>Leitura real — sequência serpentina</x:v>
      </x:c>
    </x:row>
    <x:row r="270">
      <x:c r="A270" s="40" t="n">
        <x:v>258</x:v>
      </x:c>
      <x:c r="B270" s="41" t="n">
        <x:v>-0.30000000000000004</x:v>
      </x:c>
      <x:c r="C270" s="41" t="n">
        <x:v>1.75</x:v>
      </x:c>
      <x:c r="D270" s="126" t="n">
        <x:v>6.895562318049271</x:v>
      </x:c>
      <x:c r="E270" s="126" t="n">
        <x:v>34.70443768195073</x:v>
      </x:c>
      <x:c r="F270" s="127" t="n">
        <x:v>34.7</x:v>
      </x:c>
      <x:c r="G270" s="123" t="n">
        <x:v>6.899999999999999</x:v>
      </x:c>
      <x:c r="H270" s="123" t="n">
        <x:v>-0.004437681950726358</x:v>
      </x:c>
      <x:c r="I270" s="122" t="n">
        <x:v>-0.00012787073490126973</x:v>
      </x:c>
      <x:c r="J270" s="36" t="str">
        <x:v>Leitura real — sequência serpentina</x:v>
      </x:c>
    </x:row>
    <x:row r="271">
      <x:c r="A271" s="40" t="n">
        <x:v>259</x:v>
      </x:c>
      <x:c r="B271" s="41" t="n">
        <x:v>-0.050000000000000044</x:v>
      </x:c>
      <x:c r="C271" s="41" t="n">
        <x:v>1.75</x:v>
      </x:c>
      <x:c r="D271" s="126" t="n">
        <x:v>7.295901003432434</x:v>
      </x:c>
      <x:c r="E271" s="126" t="n">
        <x:v>34.30409899656757</x:v>
      </x:c>
      <x:c r="F271" s="127" t="n">
        <x:v>34.5</x:v>
      </x:c>
      <x:c r="G271" s="123" t="n">
        <x:v>7.100000000000001</x:v>
      </x:c>
      <x:c r="H271" s="123" t="n">
        <x:v>0.19590100343243222</x:v>
      </x:c>
      <x:c r="I271" s="122" t="n">
        <x:v>0.005710717061889131</x:v>
      </x:c>
      <x:c r="J271" s="36" t="str">
        <x:v>Leitura real — sequência serpentina</x:v>
      </x:c>
    </x:row>
    <x:row r="272">
      <x:c r="A272" s="40" t="n">
        <x:v>260</x:v>
      </x:c>
      <x:c r="B272" s="41" t="n">
        <x:v>0.19999999999999996</x:v>
      </x:c>
      <x:c r="C272" s="41" t="n">
        <x:v>1.75</x:v>
      </x:c>
      <x:c r="D272" s="126" t="n">
        <x:v>7.663134743497206</x:v>
      </x:c>
      <x:c r="E272" s="126" t="n">
        <x:v>33.9368652565028</x:v>
      </x:c>
      <x:c r="F272" s="127" t="n">
        <x:v>31.6</x:v>
      </x:c>
      <x:c r="G272" s="123" t="n">
        <x:v>10</x:v>
      </x:c>
      <x:c r="H272" s="123" t="n">
        <x:v>-2.336865256502797</x:v>
      </x:c>
      <x:c r="I272" s="122" t="n">
        <x:v>-0.06885919600529455</x:v>
      </x:c>
      <x:c r="J272" s="36" t="str">
        <x:v>Leitura real — sequência serpentina</x:v>
      </x:c>
    </x:row>
    <x:row r="273">
      <x:c r="A273" s="40" t="n">
        <x:v>261</x:v>
      </x:c>
      <x:c r="B273" s="41" t="n">
        <x:v>0.44999999999999996</x:v>
      </x:c>
      <x:c r="C273" s="41" t="n">
        <x:v>1.75</x:v>
      </x:c>
      <x:c r="D273" s="126" t="n">
        <x:v>7.975441234084258</x:v>
      </x:c>
      <x:c r="E273" s="126" t="n">
        <x:v>33.624558765915744</x:v>
      </x:c>
      <x:c r="F273" s="127" t="n">
        <x:v>29.9</x:v>
      </x:c>
      <x:c r="G273" s="123" t="n">
        <x:v>11.700000000000003</x:v>
      </x:c>
      <x:c r="H273" s="123" t="n">
        <x:v>-3.724558765915745</x:v>
      </x:c>
      <x:c r="I273" s="122" t="n">
        <x:v>-0.11076900047507014</x:v>
      </x:c>
      <x:c r="J273" s="36" t="str">
        <x:v>Leitura real — sequência serpentina</x:v>
      </x:c>
    </x:row>
    <x:row r="274">
      <x:c r="A274" s="40" t="n">
        <x:v>262</x:v>
      </x:c>
      <x:c r="B274" s="41" t="n">
        <x:v>0.7</x:v>
      </x:c>
      <x:c r="C274" s="41" t="n">
        <x:v>1.75</x:v>
      </x:c>
      <x:c r="D274" s="126" t="n">
        <x:v>8.213345278883168</x:v>
      </x:c>
      <x:c r="E274" s="126" t="n">
        <x:v>33.386654721116834</x:v>
      </x:c>
      <x:c r="F274" s="127" t="n">
        <x:v>32.1</x:v>
      </x:c>
      <x:c r="G274" s="123" t="n">
        <x:v>9.5</x:v>
      </x:c>
      <x:c r="H274" s="123" t="n">
        <x:v>-1.2866547211168324</x:v>
      </x:c>
      <x:c r="I274" s="122" t="n">
        <x:v>-0.03853799465278658</x:v>
      </x:c>
      <x:c r="J274" s="36" t="str">
        <x:v>Leitura real — sequência serpentina</x:v>
      </x:c>
    </x:row>
    <x:row r="275">
      <x:c r="A275" s="40" t="n">
        <x:v>263</x:v>
      </x:c>
      <x:c r="B275" s="41" t="n">
        <x:v>0.95</x:v>
      </x:c>
      <x:c r="C275" s="41" t="n">
        <x:v>1.75</x:v>
      </x:c>
      <x:c r="D275" s="126" t="n">
        <x:v>8.362074092583645</x:v>
      </x:c>
      <x:c r="E275" s="126" t="n">
        <x:v>33.237925907416354</x:v>
      </x:c>
      <x:c r="F275" s="127" t="n">
        <x:v>33.3</x:v>
      </x:c>
      <x:c r="G275" s="123" t="n">
        <x:v>8.300000000000004</x:v>
      </x:c>
      <x:c r="H275" s="123" t="n">
        <x:v>0.06207409258364294</x:v>
      </x:c>
      <x:c r="I275" s="122" t="n">
        <x:v>0.001867568173674531</x:v>
      </x:c>
      <x:c r="J275" s="36" t="str">
        <x:v>Leitura real — sequência serpentina</x:v>
      </x:c>
    </x:row>
    <x:row r="276">
      <x:c r="A276" s="40" t="n">
        <x:v>264</x:v>
      </x:c>
      <x:c r="B276" s="41" t="n">
        <x:v>1.2</x:v>
      </x:c>
      <x:c r="C276" s="41" t="n">
        <x:v>1.75</x:v>
      </x:c>
      <x:c r="D276" s="126" t="n">
        <x:v>8.412645307221704</x:v>
      </x:c>
      <x:c r="E276" s="126" t="n">
        <x:v>33.1873546927783</x:v>
      </x:c>
      <x:c r="F276" s="127" t="n">
        <x:v>34.2</x:v>
      </x:c>
      <x:c r="G276" s="123" t="n">
        <x:v>7.399999999999999</x:v>
      </x:c>
      <x:c r="H276" s="123" t="n">
        <x:v>1.0126453072217032</x:v>
      </x:c>
      <x:c r="I276" s="122" t="n">
        <x:v>0.030512986545506708</x:v>
      </x:c>
      <x:c r="J276" s="36" t="str">
        <x:v>Leitura real — sequência serpentina</x:v>
      </x:c>
    </x:row>
    <x:row r="277">
      <x:c r="A277" s="40" t="n">
        <x:v>265</x:v>
      </x:c>
      <x:c r="B277" s="41" t="n">
        <x:v>1.45</x:v>
      </x:c>
      <x:c r="C277" s="41" t="n">
        <x:v>1.75</x:v>
      </x:c>
      <x:c r="D277" s="126" t="n">
        <x:v>8.362074092583645</x:v>
      </x:c>
      <x:c r="E277" s="126" t="n">
        <x:v>33.237925907416354</x:v>
      </x:c>
      <x:c r="F277" s="127" t="n">
        <x:v>30</x:v>
      </x:c>
      <x:c r="G277" s="123" t="n">
        <x:v>11.600000000000001</x:v>
      </x:c>
      <x:c r="H277" s="123" t="n">
        <x:v>-3.237925907416354</x:v>
      </x:c>
      <x:c r="I277" s="122" t="n">
        <x:v>-0.09741660524894179</x:v>
      </x:c>
      <x:c r="J277" s="36" t="str">
        <x:v>Leitura real — sequência serpentina</x:v>
      </x:c>
    </x:row>
    <x:row r="278">
      <x:c r="A278" s="40" t="n">
        <x:v>266</x:v>
      </x:c>
      <x:c r="B278" s="41" t="n">
        <x:v>1.7</x:v>
      </x:c>
      <x:c r="C278" s="41" t="n">
        <x:v>1.75</x:v>
      </x:c>
      <x:c r="D278" s="126" t="n">
        <x:v>8.213345278883168</x:v>
      </x:c>
      <x:c r="E278" s="126" t="n">
        <x:v>33.386654721116834</x:v>
      </x:c>
      <x:c r="F278" s="127" t="n">
        <x:v>30.3</x:v>
      </x:c>
      <x:c r="G278" s="123" t="n">
        <x:v>11.3</x:v>
      </x:c>
      <x:c r="H278" s="123" t="n">
        <x:v>-3.086654721116833</x:v>
      </x:c>
      <x:c r="I278" s="122" t="n">
        <x:v>-0.09245175196197614</x:v>
      </x:c>
      <x:c r="J278" s="36" t="str">
        <x:v>Leitura real — sequência serpentina</x:v>
      </x:c>
    </x:row>
    <x:row r="279">
      <x:c r="A279" s="40" t="n">
        <x:v>267</x:v>
      </x:c>
      <x:c r="B279" s="41" t="n">
        <x:v>1.95</x:v>
      </x:c>
      <x:c r="C279" s="41" t="n">
        <x:v>1.75</x:v>
      </x:c>
      <x:c r="D279" s="126" t="n">
        <x:v>7.975441234084258</x:v>
      </x:c>
      <x:c r="E279" s="126" t="n">
        <x:v>33.624558765915744</x:v>
      </x:c>
      <x:c r="F279" s="127" t="n">
        <x:v>33.7</x:v>
      </x:c>
      <x:c r="G279" s="123" t="n">
        <x:v>7.899999999999999</x:v>
      </x:c>
      <x:c r="H279" s="123" t="n">
        <x:v>0.07544123408425918</x:v>
      </x:c>
      <x:c r="I279" s="122" t="n">
        <x:v>0.002243634916058194</x:v>
      </x:c>
      <x:c r="J279" s="36" t="str">
        <x:v>Leitura real — sequência serpentina</x:v>
      </x:c>
    </x:row>
    <x:row r="280">
      <x:c r="A280" s="40" t="n">
        <x:v>268</x:v>
      </x:c>
      <x:c r="B280" s="41" t="n">
        <x:v>2.2</x:v>
      </x:c>
      <x:c r="C280" s="41" t="n">
        <x:v>1.75</x:v>
      </x:c>
      <x:c r="D280" s="126" t="n">
        <x:v>7.663134743497205</x:v>
      </x:c>
      <x:c r="E280" s="126" t="n">
        <x:v>33.9368652565028</x:v>
      </x:c>
      <x:c r="F280" s="127" t="n">
        <x:v>31.3</x:v>
      </x:c>
      <x:c r="G280" s="123" t="n">
        <x:v>10.3</x:v>
      </x:c>
      <x:c r="H280" s="123" t="n">
        <x:v>-2.636865256502798</x:v>
      </x:c>
      <x:c r="I280" s="122" t="n">
        <x:v>-0.07769914034701647</x:v>
      </x:c>
      <x:c r="J280" s="36" t="str">
        <x:v>Leitura real — sequência serpentina</x:v>
      </x:c>
    </x:row>
    <x:row r="281">
      <x:c r="A281" s="40" t="n">
        <x:v>269</x:v>
      </x:c>
      <x:c r="B281" s="41" t="n">
        <x:v>2.45</x:v>
      </x:c>
      <x:c r="C281" s="41" t="n">
        <x:v>1.75</x:v>
      </x:c>
      <x:c r="D281" s="126" t="n">
        <x:v>7.295901003432434</x:v>
      </x:c>
      <x:c r="E281" s="126" t="n">
        <x:v>34.30409899656757</x:v>
      </x:c>
      <x:c r="F281" s="127" t="n">
        <x:v>35.6</x:v>
      </x:c>
      <x:c r="G281" s="123" t="n">
        <x:v>6</x:v>
      </x:c>
      <x:c r="H281" s="123" t="n">
        <x:v>1.2959010034324336</x:v>
      </x:c>
      <x:c r="I281" s="122" t="n">
        <x:v>0.037776855866761</x:v>
      </x:c>
      <x:c r="J281" s="36" t="str">
        <x:v>Leitura real — sequência serpentina</x:v>
      </x:c>
    </x:row>
    <x:row r="282">
      <x:c r="A282" s="40" t="n">
        <x:v>270</x:v>
      </x:c>
      <x:c r="B282" s="41" t="n">
        <x:v>2.7</x:v>
      </x:c>
      <x:c r="C282" s="41" t="n">
        <x:v>1.75</x:v>
      </x:c>
      <x:c r="D282" s="126" t="n">
        <x:v>6.895562318049271</x:v>
      </x:c>
      <x:c r="E282" s="126" t="n">
        <x:v>34.70443768195073</x:v>
      </x:c>
      <x:c r="F282" s="127" t="n">
        <x:v>38.5</x:v>
      </x:c>
      <x:c r="G282" s="123" t="n">
        <x:v>3.1000000000000014</x:v>
      </x:c>
      <x:c r="H282" s="123" t="n">
        <x:v>3.795562318049271</x:v>
      </x:c>
      <x:c r="I282" s="122" t="n">
        <x:v>0.10936821258519591</x:v>
      </x:c>
      <x:c r="J282" s="36" t="str">
        <x:v>Leitura real — sequência serpentina</x:v>
      </x:c>
    </x:row>
    <x:row r="283">
      <x:c r="A283" s="40" t="n">
        <x:v>271</x:v>
      </x:c>
      <x:c r="B283" s="41" t="n">
        <x:v>2.95</x:v>
      </x:c>
      <x:c r="C283" s="41" t="n">
        <x:v>1.75</x:v>
      </x:c>
      <x:c r="D283" s="126" t="n">
        <x:v>6.483127118749654</x:v>
      </x:c>
      <x:c r="E283" s="126" t="n">
        <x:v>35.116872881250345</x:v>
      </x:c>
      <x:c r="F283" s="127" t="n">
        <x:v>36.5</x:v>
      </x:c>
      <x:c r="G283" s="123" t="n">
        <x:v>5.100000000000001</x:v>
      </x:c>
      <x:c r="H283" s="123" t="n">
        <x:v>1.3831271187496554</x:v>
      </x:c>
      <x:c r="I283" s="122" t="n">
        <x:v>0.03938639762790886</x:v>
      </x:c>
      <x:c r="J283" s="36" t="str">
        <x:v>Leitura real — sequência serpentina</x:v>
      </x:c>
    </x:row>
    <x:row r="284">
      <x:c r="A284" s="40" t="n">
        <x:v>272</x:v>
      </x:c>
      <x:c r="B284" s="41" t="n">
        <x:v>3.2</x:v>
      </x:c>
      <x:c r="C284" s="41" t="n">
        <x:v>1.75</x:v>
      </x:c>
      <x:c r="D284" s="126" t="n">
        <x:v>6.075995678677934</x:v>
      </x:c>
      <x:c r="E284" s="126" t="n">
        <x:v>35.52400432132207</x:v>
      </x:c>
      <x:c r="F284" s="127" t="n">
        <x:v>33.4</x:v>
      </x:c>
      <x:c r="G284" s="123" t="n">
        <x:v>8.200000000000003</x:v>
      </x:c>
      <x:c r="H284" s="123" t="n">
        <x:v>-2.1240043213220687</x:v>
      </x:c>
      <x:c r="I284" s="122" t="n">
        <x:v>-0.059790678497559126</x:v>
      </x:c>
      <x:c r="J284" s="36" t="str">
        <x:v>Leitura real — sequência serpentina</x:v>
      </x:c>
    </x:row>
    <x:row r="285">
      <x:c r="A285" s="40" t="n">
        <x:v>273</x:v>
      </x:c>
      <x:c r="B285" s="41" t="n">
        <x:v>-0.8</x:v>
      </x:c>
      <x:c r="C285" s="41" t="n">
        <x:v>2</x:v>
      </x:c>
      <x:c r="D285" s="126" t="n">
        <x:v>5.667512417869882</x:v>
      </x:c>
      <x:c r="E285" s="126" t="n">
        <x:v>35.93248758213012</x:v>
      </x:c>
      <x:c r="F285" s="127" t="n">
        <x:v>35.2</x:v>
      </x:c>
      <x:c r="G285" s="123" t="n">
        <x:v>6.399999999999999</x:v>
      </x:c>
      <x:c r="H285" s="123" t="n">
        <x:v>-0.7324875821301191</x:v>
      </x:c>
      <x:c r="I285" s="122" t="n">
        <x:v>-0.02038510638752432</x:v>
      </x:c>
      <x:c r="J285" s="36" t="str">
        <x:v>Leitura real — sequência serpentina</x:v>
      </x:c>
    </x:row>
    <x:row r="286">
      <x:c r="A286" s="40" t="n">
        <x:v>274</x:v>
      </x:c>
      <x:c r="B286" s="41" t="n">
        <x:v>-0.55</x:v>
      </x:c>
      <x:c r="C286" s="41" t="n">
        <x:v>2</x:v>
      </x:c>
      <x:c r="D286" s="126" t="n">
        <x:v>5.995426377579167</x:v>
      </x:c>
      <x:c r="E286" s="126" t="n">
        <x:v>35.60457362242084</x:v>
      </x:c>
      <x:c r="F286" s="127" t="n">
        <x:v>36.4</x:v>
      </x:c>
      <x:c r="G286" s="123" t="n">
        <x:v>5.200000000000003</x:v>
      </x:c>
      <x:c r="H286" s="123" t="n">
        <x:v>0.7954263775791617</x:v>
      </x:c>
      <x:c r="I286" s="122" t="n">
        <x:v>0.02234056742300847</x:v>
      </x:c>
      <x:c r="J286" s="36" t="str">
        <x:v>Leitura real — sequência serpentina</x:v>
      </x:c>
    </x:row>
    <x:row r="287">
      <x:c r="A287" s="40" t="n">
        <x:v>275</x:v>
      </x:c>
      <x:c r="B287" s="41" t="n">
        <x:v>-0.30000000000000004</x:v>
      </x:c>
      <x:c r="C287" s="41" t="n">
        <x:v>2</x:v>
      </x:c>
      <x:c r="D287" s="126" t="n">
        <x:v>6.321224229578958</x:v>
      </x:c>
      <x:c r="E287" s="126" t="n">
        <x:v>35.27877577042104</x:v>
      </x:c>
      <x:c r="F287" s="127" t="n">
        <x:v>35</x:v>
      </x:c>
      <x:c r="G287" s="123" t="n">
        <x:v>6.600000000000001</x:v>
      </x:c>
      <x:c r="H287" s="123" t="n">
        <x:v>-0.27877577042104207</x:v>
      </x:c>
      <x:c r="I287" s="122" t="n">
        <x:v>-0.007902081756895244</x:v>
      </x:c>
      <x:c r="J287" s="36" t="str">
        <x:v>Leitura real — sequência serpentina</x:v>
      </x:c>
    </x:row>
    <x:row r="288">
      <x:c r="A288" s="40" t="n">
        <x:v>276</x:v>
      </x:c>
      <x:c r="B288" s="41" t="n">
        <x:v>-0.050000000000000044</x:v>
      </x:c>
      <x:c r="C288" s="41" t="n">
        <x:v>2</x:v>
      </x:c>
      <x:c r="D288" s="126" t="n">
        <x:v>6.632280102902117</x:v>
      </x:c>
      <x:c r="E288" s="126" t="n">
        <x:v>34.967719897097886</x:v>
      </x:c>
      <x:c r="F288" s="127" t="n">
        <x:v>34.1</x:v>
      </x:c>
      <x:c r="G288" s="123" t="n">
        <x:v>7.5</x:v>
      </x:c>
      <x:c r="H288" s="123" t="n">
        <x:v>-0.867719897097885</x:v>
      </x:c>
      <x:c r="I288" s="122" t="n">
        <x:v>-0.024814883545492498</x:v>
      </x:c>
      <x:c r="J288" s="36" t="str">
        <x:v>Leitura real — sequência serpentina</x:v>
      </x:c>
    </x:row>
    <x:row r="289">
      <x:c r="A289" s="40" t="n">
        <x:v>277</x:v>
      </x:c>
      <x:c r="B289" s="41" t="n">
        <x:v>0.19999999999999996</x:v>
      </x:c>
      <x:c r="C289" s="41" t="n">
        <x:v>2</x:v>
      </x:c>
      <x:c r="D289" s="126" t="n">
        <x:v>6.9140762188626175</x:v>
      </x:c>
      <x:c r="E289" s="126" t="n">
        <x:v>34.68592378113738</x:v>
      </x:c>
      <x:c r="F289" s="127" t="n">
        <x:v>34.2</x:v>
      </x:c>
      <x:c r="G289" s="123" t="n">
        <x:v>7.399999999999999</x:v>
      </x:c>
      <x:c r="H289" s="123" t="n">
        <x:v>-0.4859237811373802</x:v>
      </x:c>
      <x:c r="I289" s="122" t="n">
        <x:v>-0.01400925009820933</x:v>
      </x:c>
      <x:c r="J289" s="36" t="str">
        <x:v>Leitura real — sequência serpentina</x:v>
      </x:c>
    </x:row>
    <x:row r="290">
      <x:c r="A290" s="40" t="n">
        <x:v>278</x:v>
      </x:c>
      <x:c r="B290" s="41" t="n">
        <x:v>0.44999999999999996</x:v>
      </x:c>
      <x:c r="C290" s="41" t="n">
        <x:v>2</x:v>
      </x:c>
      <x:c r="D290" s="126" t="n">
        <x:v>7.151794336503379</x:v>
      </x:c>
      <x:c r="E290" s="126" t="n">
        <x:v>34.44820566349662</x:v>
      </x:c>
      <x:c r="F290" s="127" t="n">
        <x:v>36.1</x:v>
      </x:c>
      <x:c r="G290" s="123" t="n">
        <x:v>5.5</x:v>
      </x:c>
      <x:c r="H290" s="123" t="n">
        <x:v>1.6517943365033787</x:v>
      </x:c>
      <x:c r="I290" s="122" t="n">
        <x:v>0.0479500834568495</x:v>
      </x:c>
      <x:c r="J290" s="36" t="str">
        <x:v>Leitura real — sequência serpentina</x:v>
      </x:c>
    </x:row>
    <x:row r="291">
      <x:c r="A291" s="40" t="n">
        <x:v>279</x:v>
      </x:c>
      <x:c r="B291" s="41" t="n">
        <x:v>0.7</x:v>
      </x:c>
      <x:c r="C291" s="41" t="n">
        <x:v>2</x:v>
      </x:c>
      <x:c r="D291" s="126" t="n">
        <x:v>7.3320993226639954</x:v>
      </x:c>
      <x:c r="E291" s="126" t="n">
        <x:v>34.26790067733601</x:v>
      </x:c>
      <x:c r="F291" s="127" t="n">
        <x:v>32.5</x:v>
      </x:c>
      <x:c r="G291" s="123" t="n">
        <x:v>9.100000000000001</x:v>
      </x:c>
      <x:c r="H291" s="123" t="n">
        <x:v>-1.7679006773360086</x:v>
      </x:c>
      <x:c r="I291" s="122" t="n">
        <x:v>-0.05159057433901275</x:v>
      </x:c>
      <x:c r="J291" s="36" t="str">
        <x:v>Leitura real — sequência serpentina</x:v>
      </x:c>
    </x:row>
    <x:row r="292">
      <x:c r="A292" s="40" t="n">
        <x:v>280</x:v>
      </x:c>
      <x:c r="B292" s="41" t="n">
        <x:v>0.95</x:v>
      </x:c>
      <x:c r="C292" s="41" t="n">
        <x:v>2</x:v>
      </x:c>
      <x:c r="D292" s="126" t="n">
        <x:v>7.444618239210127</x:v>
      </x:c>
      <x:c r="E292" s="126" t="n">
        <x:v>34.15538176078987</x:v>
      </x:c>
      <x:c r="F292" s="127" t="n">
        <x:v>36.2</x:v>
      </x:c>
      <x:c r="G292" s="123" t="n">
        <x:v>5.399999999999999</x:v>
      </x:c>
      <x:c r="H292" s="123" t="n">
        <x:v>2.0446182392101306</x:v>
      </x:c>
      <x:c r="I292" s="122" t="n">
        <x:v>0.0598622569505968</x:v>
      </x:c>
      <x:c r="J292" s="36" t="str">
        <x:v>Leitura real — sequência serpentina</x:v>
      </x:c>
    </x:row>
    <x:row r="293">
      <x:c r="A293" s="40" t="n">
        <x:v>281</x:v>
      </x:c>
      <x:c r="B293" s="41" t="n">
        <x:v>1.2</x:v>
      </x:c>
      <x:c r="C293" s="41" t="n">
        <x:v>2</x:v>
      </x:c>
      <x:c r="D293" s="126" t="n">
        <x:v>7.4828577464319235</x:v>
      </x:c>
      <x:c r="E293" s="126" t="n">
        <x:v>34.117142253568076</x:v>
      </x:c>
      <x:c r="F293" s="127" t="n">
        <x:v>36.7</x:v>
      </x:c>
      <x:c r="G293" s="123" t="n">
        <x:v>4.899999999999999</x:v>
      </x:c>
      <x:c r="H293" s="123" t="n">
        <x:v>2.5828577464319267</x:v>
      </x:c>
      <x:c r="I293" s="122" t="n">
        <x:v>0.07570557132937485</x:v>
      </x:c>
      <x:c r="J293" s="36" t="str">
        <x:v>Leitura real — sequência serpentina</x:v>
      </x:c>
    </x:row>
    <x:row r="294">
      <x:c r="A294" s="40" t="n">
        <x:v>282</x:v>
      </x:c>
      <x:c r="B294" s="41" t="n">
        <x:v>1.45</x:v>
      </x:c>
      <x:c r="C294" s="41" t="n">
        <x:v>2</x:v>
      </x:c>
      <x:c r="D294" s="126" t="n">
        <x:v>7.444618239210127</x:v>
      </x:c>
      <x:c r="E294" s="126" t="n">
        <x:v>34.15538176078987</x:v>
      </x:c>
      <x:c r="F294" s="127" t="n">
        <x:v>34.3</x:v>
      </x:c>
      <x:c r="G294" s="123" t="n">
        <x:v>7.300000000000004</x:v>
      </x:c>
      <x:c r="H294" s="123" t="n">
        <x:v>0.14461823921012495</x:v>
      </x:c>
      <x:c r="I294" s="122" t="n">
        <x:v>0.004234127442139898</x:v>
      </x:c>
      <x:c r="J294" s="36" t="str">
        <x:v>Leitura real — sequência serpentina</x:v>
      </x:c>
    </x:row>
    <x:row r="295">
      <x:c r="A295" s="40" t="n">
        <x:v>283</x:v>
      </x:c>
      <x:c r="B295" s="41" t="n">
        <x:v>1.7</x:v>
      </x:c>
      <x:c r="C295" s="41" t="n">
        <x:v>2</x:v>
      </x:c>
      <x:c r="D295" s="126" t="n">
        <x:v>7.3320993226639954</x:v>
      </x:c>
      <x:c r="E295" s="126" t="n">
        <x:v>34.26790067733601</x:v>
      </x:c>
      <x:c r="F295" s="127" t="n">
        <x:v>34.8</x:v>
      </x:c>
      <x:c r="G295" s="123" t="n">
        <x:v>6.800000000000004</x:v>
      </x:c>
      <x:c r="H295" s="123" t="n">
        <x:v>0.5320993226639885</x:v>
      </x:c>
      <x:c r="I295" s="122" t="n">
        <x:v>0.01552763116930319</x:v>
      </x:c>
      <x:c r="J295" s="36" t="str">
        <x:v>Leitura real — sequência serpentina</x:v>
      </x:c>
    </x:row>
    <x:row r="296">
      <x:c r="A296" s="40" t="n">
        <x:v>284</x:v>
      </x:c>
      <x:c r="B296" s="41" t="n">
        <x:v>1.95</x:v>
      </x:c>
      <x:c r="C296" s="41" t="n">
        <x:v>2</x:v>
      </x:c>
      <x:c r="D296" s="126" t="n">
        <x:v>7.151794336503379</x:v>
      </x:c>
      <x:c r="E296" s="126" t="n">
        <x:v>34.44820566349662</x:v>
      </x:c>
      <x:c r="F296" s="127" t="n">
        <x:v>32.1</x:v>
      </x:c>
      <x:c r="G296" s="123" t="n">
        <x:v>9.5</x:v>
      </x:c>
      <x:c r="H296" s="123" t="n">
        <x:v>-2.3482056634966213</x:v>
      </x:c>
      <x:c r="I296" s="122" t="n">
        <x:v>-0.06816626928075155</x:v>
      </x:c>
      <x:c r="J296" s="36" t="str">
        <x:v>Leitura real — sequência serpentina</x:v>
      </x:c>
    </x:row>
    <x:row r="297">
      <x:c r="A297" s="40" t="n">
        <x:v>285</x:v>
      </x:c>
      <x:c r="B297" s="41" t="n">
        <x:v>2.2</x:v>
      </x:c>
      <x:c r="C297" s="41" t="n">
        <x:v>2</x:v>
      </x:c>
      <x:c r="D297" s="126" t="n">
        <x:v>6.914076218862617</x:v>
      </x:c>
      <x:c r="E297" s="126" t="n">
        <x:v>34.68592378113738</x:v>
      </x:c>
      <x:c r="F297" s="127" t="n">
        <x:v>39</x:v>
      </x:c>
      <x:c r="G297" s="123" t="n">
        <x:v>2.6000000000000014</x:v>
      </x:c>
      <x:c r="H297" s="123" t="n">
        <x:v>4.314076218862617</x:v>
      </x:c>
      <x:c r="I297" s="122" t="n">
        <x:v>0.12437541655467348</x:v>
      </x:c>
      <x:c r="J297" s="36" t="str">
        <x:v>Leitura real — sequência serpentina</x:v>
      </x:c>
    </x:row>
    <x:row r="298">
      <x:c r="A298" s="40" t="n">
        <x:v>286</x:v>
      </x:c>
      <x:c r="B298" s="41" t="n">
        <x:v>2.45</x:v>
      </x:c>
      <x:c r="C298" s="41" t="n">
        <x:v>2</x:v>
      </x:c>
      <x:c r="D298" s="126" t="n">
        <x:v>6.632280102902117</x:v>
      </x:c>
      <x:c r="E298" s="126" t="n">
        <x:v>34.967719897097886</x:v>
      </x:c>
      <x:c r="F298" s="127" t="n">
        <x:v>36.9</x:v>
      </x:c>
      <x:c r="G298" s="123" t="n">
        <x:v>4.700000000000003</x:v>
      </x:c>
      <x:c r="H298" s="123" t="n">
        <x:v>1.9322801029021122</x:v>
      </x:c>
      <x:c r="I298" s="122" t="n">
        <x:v>0.0552589676589831</x:v>
      </x:c>
      <x:c r="J298" s="36" t="str">
        <x:v>Leitura real — sequência serpentina</x:v>
      </x:c>
    </x:row>
    <x:row r="299">
      <x:c r="A299" s="40" t="n">
        <x:v>287</x:v>
      </x:c>
      <x:c r="B299" s="41" t="n">
        <x:v>2.7</x:v>
      </x:c>
      <x:c r="C299" s="41" t="n">
        <x:v>2</x:v>
      </x:c>
      <x:c r="D299" s="126" t="n">
        <x:v>6.321224229578957</x:v>
      </x:c>
      <x:c r="E299" s="126" t="n">
        <x:v>35.27877577042104</x:v>
      </x:c>
      <x:c r="F299" s="127" t="n">
        <x:v>35.8</x:v>
      </x:c>
      <x:c r="G299" s="123" t="n">
        <x:v>5.800000000000004</x:v>
      </x:c>
      <x:c r="H299" s="123" t="n">
        <x:v>0.5212242295789551</x:v>
      </x:c>
      <x:c r="I299" s="122" t="n">
        <x:v>0.014774442088661357</x:v>
      </x:c>
      <x:c r="J299" s="36" t="str">
        <x:v>Leitura real — sequência serpentina</x:v>
      </x:c>
    </x:row>
    <x:row r="300">
      <x:c r="A300" s="40" t="n">
        <x:v>288</x:v>
      </x:c>
      <x:c r="B300" s="41" t="n">
        <x:v>2.95</x:v>
      </x:c>
      <x:c r="C300" s="41" t="n">
        <x:v>2</x:v>
      </x:c>
      <x:c r="D300" s="126" t="n">
        <x:v>5.995426377579165</x:v>
      </x:c>
      <x:c r="E300" s="126" t="n">
        <x:v>35.60457362242084</x:v>
      </x:c>
      <x:c r="F300" s="127" t="n">
        <x:v>35.9</x:v>
      </x:c>
      <x:c r="G300" s="123" t="n">
        <x:v>5.700000000000003</x:v>
      </x:c>
      <x:c r="H300" s="123" t="n">
        <x:v>0.2954263775791617</x:v>
      </x:c>
      <x:c r="I300" s="122" t="n">
        <x:v>0.008297427760604508</x:v>
      </x:c>
      <x:c r="J300" s="36" t="str">
        <x:v>Leitura real — sequência serpentina</x:v>
      </x:c>
    </x:row>
    <x:row r="301">
      <x:c r="A301" s="40" t="n">
        <x:v>289</x:v>
      </x:c>
      <x:c r="B301" s="41" t="n">
        <x:v>3.2</x:v>
      </x:c>
      <x:c r="C301" s="41" t="n">
        <x:v>2</x:v>
      </x:c>
      <x:c r="D301" s="126" t="n">
        <x:v>5.667512417869881</x:v>
      </x:c>
      <x:c r="E301" s="126" t="n">
        <x:v>35.93248758213012</x:v>
      </x:c>
      <x:c r="F301" s="127" t="n">
        <x:v>37</x:v>
      </x:c>
      <x:c r="G301" s="123" t="n">
        <x:v>4.600000000000001</x:v>
      </x:c>
      <x:c r="H301" s="123" t="n">
        <x:v>1.067512417869878</x:v>
      </x:c>
      <x:c r="I301" s="122" t="n">
        <x:v>0.02970883703584083</x:v>
      </x:c>
      <x:c r="J301" s="36" t="str">
        <x:v>Leitura real — sequência serpentina</x:v>
      </x:c>
    </x:row>
  </x:sheetData>
  <x:mergeCells>
    <x:mergeCell ref="A1:J1"/>
    <x:mergeCell ref="A2:J2"/>
  </x:mergeCells>
  <x:conditionalFormatting sqref="I13:I301">
    <x:cfRule type="colorScale" priority="1">
      <x:colorScale>
        <x:cfvo type="min"/>
        <x:cfvo type="num" val="0"/>
        <x:cfvo type="max"/>
        <x:color rgb="FF5B9BD5"/>
        <x:color rgb="FFFFF2CC"/>
        <x:color rgb="FFF8696B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9" hidden="0" customWidth="1"/>
    <x:col min="2" max="2" width="8.5" hidden="0" customWidth="1"/>
    <x:col min="3" max="3" width="8.5" hidden="0" customWidth="1"/>
    <x:col min="4" max="4" width="8.5" hidden="0" customWidth="1"/>
    <x:col min="5" max="5" width="8.5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  <x:col min="13" max="13" width="8.5" hidden="0" customWidth="1"/>
    <x:col min="14" max="14" width="8.5" hidden="0" customWidth="1"/>
    <x:col min="15" max="15" width="8.5" hidden="0" customWidth="1"/>
    <x:col min="16" max="16" width="8.5" hidden="0" customWidth="1"/>
    <x:col min="17" max="17" width="8.5" hidden="0" customWidth="1"/>
    <x:col min="18" max="18" width="8.5" hidden="0" customWidth="1"/>
  </x:cols>
  <x:sheetData>
    <x:row r="1">
      <x:c r="A1" s="103" t="str">
        <x:v>MATRIZ IDEAL — R_MTR ESPERADA (Ω)</x:v>
      </x:c>
      <x:c r="B1" s="103"/>
      <x:c r="C1" s="103"/>
      <x:c r="D1" s="103"/>
      <x:c r="E1" s="103"/>
      <x:c r="F1" s="103"/>
      <x:c r="G1" s="103"/>
      <x:c r="H1" s="103"/>
      <x:c r="I1" s="103"/>
      <x:c r="J1" s="103"/>
      <x:c r="K1" s="103"/>
      <x:c r="L1" s="103"/>
      <x:c r="M1" s="103"/>
      <x:c r="N1" s="103"/>
      <x:c r="O1" s="103"/>
      <x:c r="P1" s="103"/>
      <x:c r="Q1" s="103"/>
      <x:c r="R1" s="103"/>
    </x:row>
    <x:row r="3">
      <x:c r="A3" s="112" t="str">
        <x:v>y \ x</x:v>
      </x:c>
      <x:c r="B3" s="112" t="n">
        <x:v>-0.8</x:v>
      </x:c>
      <x:c r="C3" s="112" t="n">
        <x:v>-0.55</x:v>
      </x:c>
      <x:c r="D3" s="112" t="n">
        <x:v>-0.30000000000000004</x:v>
      </x:c>
      <x:c r="E3" s="112" t="n">
        <x:v>-0.050000000000000044</x:v>
      </x:c>
      <x:c r="F3" s="112" t="n">
        <x:v>0.19999999999999996</x:v>
      </x:c>
      <x:c r="G3" s="112" t="n">
        <x:v>0.44999999999999996</x:v>
      </x:c>
      <x:c r="H3" s="112" t="n">
        <x:v>0.7</x:v>
      </x:c>
      <x:c r="I3" s="112" t="n">
        <x:v>0.95</x:v>
      </x:c>
      <x:c r="J3" s="112" t="n">
        <x:v>1.2</x:v>
      </x:c>
      <x:c r="K3" s="112" t="n">
        <x:v>1.45</x:v>
      </x:c>
      <x:c r="L3" s="112" t="n">
        <x:v>1.7</x:v>
      </x:c>
      <x:c r="M3" s="112" t="n">
        <x:v>1.95</x:v>
      </x:c>
      <x:c r="N3" s="112" t="n">
        <x:v>2.2</x:v>
      </x:c>
      <x:c r="O3" s="112" t="n">
        <x:v>2.45</x:v>
      </x:c>
      <x:c r="P3" s="112" t="n">
        <x:v>2.7</x:v>
      </x:c>
      <x:c r="Q3" s="112" t="n">
        <x:v>2.95</x:v>
      </x:c>
      <x:c r="R3" s="112" t="n">
        <x:v>3.2</x:v>
      </x:c>
    </x:row>
    <x:row r="4">
      <x:c r="A4" s="131" t="n">
        <x:v>2</x:v>
      </x:c>
      <x:c r="B4" s="57" t="n">
        <x:v>35.93248758213012</x:v>
      </x:c>
      <x:c r="C4" s="57" t="n">
        <x:v>35.60457362242084</x:v>
      </x:c>
      <x:c r="D4" s="57" t="n">
        <x:v>35.27877577042104</x:v>
      </x:c>
      <x:c r="E4" s="57" t="n">
        <x:v>34.967719897097886</x:v>
      </x:c>
      <x:c r="F4" s="57" t="n">
        <x:v>34.68592378113738</x:v>
      </x:c>
      <x:c r="G4" s="57" t="n">
        <x:v>34.44820566349662</x:v>
      </x:c>
      <x:c r="H4" s="57" t="n">
        <x:v>34.26790067733601</x:v>
      </x:c>
      <x:c r="I4" s="57" t="n">
        <x:v>34.15538176078987</x:v>
      </x:c>
      <x:c r="J4" s="57" t="n">
        <x:v>34.117142253568076</x:v>
      </x:c>
      <x:c r="K4" s="57" t="n">
        <x:v>34.15538176078987</x:v>
      </x:c>
      <x:c r="L4" s="57" t="n">
        <x:v>34.26790067733601</x:v>
      </x:c>
      <x:c r="M4" s="57" t="n">
        <x:v>34.44820566349662</x:v>
      </x:c>
      <x:c r="N4" s="57" t="n">
        <x:v>34.68592378113738</x:v>
      </x:c>
      <x:c r="O4" s="57" t="n">
        <x:v>34.967719897097886</x:v>
      </x:c>
      <x:c r="P4" s="57" t="n">
        <x:v>35.27877577042104</x:v>
      </x:c>
      <x:c r="Q4" s="57" t="n">
        <x:v>35.60457362242084</x:v>
      </x:c>
      <x:c r="R4" s="57" t="n">
        <x:v>35.93248758213012</x:v>
      </x:c>
    </x:row>
    <x:row r="5">
      <x:c r="A5" s="131" t="n">
        <x:v>1.75</x:v>
      </x:c>
      <x:c r="B5" s="57" t="n">
        <x:v>35.52400432132207</x:v>
      </x:c>
      <x:c r="C5" s="57" t="n">
        <x:v>35.116872881250345</x:v>
      </x:c>
      <x:c r="D5" s="57" t="n">
        <x:v>34.70443768195073</x:v>
      </x:c>
      <x:c r="E5" s="57" t="n">
        <x:v>34.30409899656757</x:v>
      </x:c>
      <x:c r="F5" s="57" t="n">
        <x:v>33.9368652565028</x:v>
      </x:c>
      <x:c r="G5" s="57" t="n">
        <x:v>33.624558765915744</x:v>
      </x:c>
      <x:c r="H5" s="57" t="n">
        <x:v>33.386654721116834</x:v>
      </x:c>
      <x:c r="I5" s="57" t="n">
        <x:v>33.237925907416354</x:v>
      </x:c>
      <x:c r="J5" s="57" t="n">
        <x:v>33.1873546927783</x:v>
      </x:c>
      <x:c r="K5" s="57" t="n">
        <x:v>33.237925907416354</x:v>
      </x:c>
      <x:c r="L5" s="57" t="n">
        <x:v>33.386654721116834</x:v>
      </x:c>
      <x:c r="M5" s="57" t="n">
        <x:v>33.624558765915744</x:v>
      </x:c>
      <x:c r="N5" s="57" t="n">
        <x:v>33.9368652565028</x:v>
      </x:c>
      <x:c r="O5" s="57" t="n">
        <x:v>34.30409899656757</x:v>
      </x:c>
      <x:c r="P5" s="57" t="n">
        <x:v>34.70443768195073</x:v>
      </x:c>
      <x:c r="Q5" s="57" t="n">
        <x:v>35.116872881250345</x:v>
      </x:c>
      <x:c r="R5" s="57" t="n">
        <x:v>35.52400432132207</x:v>
      </x:c>
    </x:row>
    <x:row r="6">
      <x:c r="A6" s="131" t="n">
        <x:v>1.5</x:v>
      </x:c>
      <x:c r="B6" s="57" t="n">
        <x:v>35.07506147494517</x:v>
      </x:c>
      <x:c r="C6" s="57" t="n">
        <x:v>34.564164282482736</x:v>
      </x:c>
      <x:c r="D6" s="57" t="n">
        <x:v>34.03388617679481</x:v>
      </x:c>
      <x:c r="E6" s="57" t="n">
        <x:v>33.50862169991099</x:v>
      </x:c>
      <x:c r="F6" s="57" t="n">
        <x:v>33.01994740771034</x:v>
      </x:c>
      <x:c r="G6" s="57" t="n">
        <x:v>32.6012667378033</x:v>
      </x:c>
      <x:c r="H6" s="57" t="n">
        <x:v>32.28164855042742</x:v>
      </x:c>
      <x:c r="I6" s="57" t="n">
        <x:v>32.08196384505736</x:v>
      </x:c>
      <x:c r="J6" s="57" t="n">
        <x:v>32.014135750763955</x:v>
      </x:c>
      <x:c r="K6" s="57" t="n">
        <x:v>32.08196384505736</x:v>
      </x:c>
      <x:c r="L6" s="57" t="n">
        <x:v>32.28164855042742</x:v>
      </x:c>
      <x:c r="M6" s="57" t="n">
        <x:v>32.6012667378033</x:v>
      </x:c>
      <x:c r="N6" s="57" t="n">
        <x:v>33.01994740771034</x:v>
      </x:c>
      <x:c r="O6" s="57" t="n">
        <x:v>33.50862169991099</x:v>
      </x:c>
      <x:c r="P6" s="57" t="n">
        <x:v>34.03388617679481</x:v>
      </x:c>
      <x:c r="Q6" s="57" t="n">
        <x:v>34.564164282482736</x:v>
      </x:c>
      <x:c r="R6" s="57" t="n">
        <x:v>35.07506147494517</x:v>
      </x:c>
    </x:row>
    <x:row r="7">
      <x:c r="A7" s="131" t="n">
        <x:v>1.25</x:v>
      </x:c>
      <x:c r="B7" s="57" t="n">
        <x:v>34.587550274441355</x:v>
      </x:c>
      <x:c r="C7" s="57" t="n">
        <x:v>33.93955182695444</x:v>
      </x:c>
      <x:c r="D7" s="57" t="n">
        <x:v>33.24539704168936</x:v>
      </x:c>
      <x:c r="E7" s="57" t="n">
        <x:v>32.53975386284111</x:v>
      </x:c>
      <x:c r="F7" s="57" t="n">
        <x:v>31.87269482149633</x:v>
      </x:c>
      <x:c r="G7" s="57" t="n">
        <x:v>31.298296575009537</x:v>
      </x:c>
      <x:c r="H7" s="57" t="n">
        <x:v>30.861047640701535</x:v>
      </x:c>
      <x:c r="I7" s="57" t="n">
        <x:v>30.589403724607624</x:v>
      </x:c>
      <x:c r="J7" s="57" t="n">
        <x:v>30.49750021161628</x:v>
      </x:c>
      <x:c r="K7" s="57" t="n">
        <x:v>30.589403724607624</x:v>
      </x:c>
      <x:c r="L7" s="57" t="n">
        <x:v>30.861047640701535</x:v>
      </x:c>
      <x:c r="M7" s="57" t="n">
        <x:v>31.298296575009537</x:v>
      </x:c>
      <x:c r="N7" s="57" t="n">
        <x:v>31.87269482149633</x:v>
      </x:c>
      <x:c r="O7" s="57" t="n">
        <x:v>32.53975386284111</x:v>
      </x:c>
      <x:c r="P7" s="57" t="n">
        <x:v>33.24539704168936</x:v>
      </x:c>
      <x:c r="Q7" s="57" t="n">
        <x:v>33.93955182695444</x:v>
      </x:c>
      <x:c r="R7" s="57" t="n">
        <x:v>34.587550274441355</x:v>
      </x:c>
    </x:row>
    <x:row r="8">
      <x:c r="A8" s="131" t="n">
        <x:v>1</x:v>
      </x:c>
      <x:c r="B8" s="57" t="n">
        <x:v>34.07057807084077</x:v>
      </x:c>
      <x:c r="C8" s="57" t="n">
        <x:v>33.24102804454884</x:v>
      </x:c>
      <x:c r="D8" s="57" t="n">
        <x:v>32.3132716792445</x:v>
      </x:c>
      <x:c r="E8" s="57" t="n">
        <x:v>31.33611967946311</x:v>
      </x:c>
      <x:c r="F8" s="57" t="n">
        <x:v>30.395257818650748</x:v>
      </x:c>
      <x:c r="G8" s="57" t="n">
        <x:v>29.585917928876036</x:v>
      </x:c>
      <x:c r="H8" s="57" t="n">
        <x:v>28.9779306666817</x:v>
      </x:c>
      <x:c r="I8" s="57" t="n">
        <x:v>28.605837355173</x:v>
      </x:c>
      <x:c r="J8" s="57" t="n">
        <x:v>28.481100866896377</x:v>
      </x:c>
      <x:c r="K8" s="57" t="n">
        <x:v>28.605837355173</x:v>
      </x:c>
      <x:c r="L8" s="57" t="n">
        <x:v>28.9779306666817</x:v>
      </x:c>
      <x:c r="M8" s="57" t="n">
        <x:v>29.585917928876036</x:v>
      </x:c>
      <x:c r="N8" s="57" t="n">
        <x:v>30.395257818650748</x:v>
      </x:c>
      <x:c r="O8" s="57" t="n">
        <x:v>31.33611967946311</x:v>
      </x:c>
      <x:c r="P8" s="57" t="n">
        <x:v>32.3132716792445</x:v>
      </x:c>
      <x:c r="Q8" s="57" t="n">
        <x:v>33.24102804454884</x:v>
      </x:c>
      <x:c r="R8" s="57" t="n">
        <x:v>34.070578070840774</x:v>
      </x:c>
    </x:row>
    <x:row r="9">
      <x:c r="A9" s="131" t="n">
        <x:v>0.75</x:v>
      </x:c>
      <x:c r="B9" s="57" t="n">
        <x:v>33.547517652742734</x:v>
      </x:c>
      <x:c r="C9" s="57" t="n">
        <x:v>32.48152486085118</x:v>
      </x:c>
      <x:c r="D9" s="57" t="n">
        <x:v>31.213370972256314</x:v>
      </x:c>
      <x:c r="E9" s="57" t="n">
        <x:v>29.804152032128247</x:v>
      </x:c>
      <x:c r="F9" s="57" t="n">
        <x:v>28.416595352764737</x:v>
      </x:c>
      <x:c r="G9" s="57" t="n">
        <x:v>27.241052415772074</x:v>
      </x:c>
      <x:c r="H9" s="57" t="n">
        <x:v>26.387506220254508</x:v>
      </x:c>
      <x:c r="I9" s="57" t="n">
        <x:v>25.88105163790349</x:v>
      </x:c>
      <x:c r="J9" s="57" t="n">
        <x:v>25.71413690884143</x:v>
      </x:c>
      <x:c r="K9" s="57" t="n">
        <x:v>25.88105163790349</x:v>
      </x:c>
      <x:c r="L9" s="57" t="n">
        <x:v>26.387506220254508</x:v>
      </x:c>
      <x:c r="M9" s="57" t="n">
        <x:v>27.241052415772074</x:v>
      </x:c>
      <x:c r="N9" s="57" t="n">
        <x:v>28.41659535276474</x:v>
      </x:c>
      <x:c r="O9" s="57" t="n">
        <x:v>29.80415203212825</x:v>
      </x:c>
      <x:c r="P9" s="57" t="n">
        <x:v>31.213370972256314</x:v>
      </x:c>
      <x:c r="Q9" s="57" t="n">
        <x:v>32.48152486085118</x:v>
      </x:c>
      <x:c r="R9" s="57" t="n">
        <x:v>33.547517652742734</x:v>
      </x:c>
    </x:row>
    <x:row r="10">
      <x:c r="A10" s="131" t="n">
        <x:v>0.5</x:v>
      </x:c>
      <x:c r="B10" s="57" t="n">
        <x:v>33.066904738940735</x:v>
      </x:c>
      <x:c r="C10" s="57" t="n">
        <x:v>31.71370061170709</x:v>
      </x:c>
      <x:c r="D10" s="57" t="n">
        <x:v>29.952280176827713</x:v>
      </x:c>
      <x:c r="E10" s="57" t="n">
        <x:v>27.80823467609943</x:v>
      </x:c>
      <x:c r="F10" s="57" t="n">
        <x:v>25.630392356625254</x:v>
      </x:c>
      <x:c r="G10" s="57" t="n">
        <x:v>23.873396346560618</x:v>
      </x:c>
      <x:c r="H10" s="57" t="n">
        <x:v>22.686907870097357</x:v>
      </x:c>
      <x:c r="I10" s="57" t="n">
        <x:v>22.019192189555188</x:v>
      </x:c>
      <x:c r="J10" s="57" t="n">
        <x:v>21.80466772606548</x:v>
      </x:c>
      <x:c r="K10" s="57" t="n">
        <x:v>22.019192189555188</x:v>
      </x:c>
      <x:c r="L10" s="57" t="n">
        <x:v>22.686907870097357</x:v>
      </x:c>
      <x:c r="M10" s="57" t="n">
        <x:v>23.873396346560618</x:v>
      </x:c>
      <x:c r="N10" s="57" t="n">
        <x:v>25.630392356625258</x:v>
      </x:c>
      <x:c r="O10" s="57" t="n">
        <x:v>27.808234676099435</x:v>
      </x:c>
      <x:c r="P10" s="57" t="n">
        <x:v>29.952280176827713</x:v>
      </x:c>
      <x:c r="Q10" s="57" t="n">
        <x:v>31.71370061170709</x:v>
      </x:c>
      <x:c r="R10" s="57" t="n">
        <x:v>33.066904738940735</x:v>
      </x:c>
    </x:row>
    <x:row r="11">
      <x:c r="A11" s="131" t="n">
        <x:v>0.25</x:v>
      </x:c>
      <x:c r="B11" s="57" t="n">
        <x:v>32.7108280373225</x:v>
      </x:c>
      <x:c r="C11" s="57" t="n">
        <x:v>31.077457099025672</x:v>
      </x:c>
      <x:c r="D11" s="57" t="n">
        <x:v>28.69380560002099</x:v>
      </x:c>
      <x:c r="E11" s="57" t="n">
        <x:v>25.292444243419954</x:v>
      </x:c>
      <x:c r="F11" s="57" t="n">
        <x:v>21.652000166476338</x:v>
      </x:c>
      <x:c r="G11" s="57" t="n">
        <x:v>19.052413117336712</x:v>
      </x:c>
      <x:c r="H11" s="57" t="n">
        <x:v>17.500377538408465</x:v>
      </x:c>
      <x:c r="I11" s="57" t="n">
        <x:v>16.683179742750667</x:v>
      </x:c>
      <x:c r="J11" s="57" t="n">
        <x:v>16.427675260677823</x:v>
      </x:c>
      <x:c r="K11" s="57" t="n">
        <x:v>16.683179742750667</x:v>
      </x:c>
      <x:c r="L11" s="57" t="n">
        <x:v>17.500377538408465</x:v>
      </x:c>
      <x:c r="M11" s="57" t="n">
        <x:v>19.052413117336712</x:v>
      </x:c>
      <x:c r="N11" s="57" t="n">
        <x:v>21.652000166476345</x:v>
      </x:c>
      <x:c r="O11" s="57" t="n">
        <x:v>25.292444243419958</x:v>
      </x:c>
      <x:c r="P11" s="57" t="n">
        <x:v>28.693805600020994</x:v>
      </x:c>
      <x:c r="Q11" s="57" t="n">
        <x:v>31.077457099025672</x:v>
      </x:c>
      <x:c r="R11" s="57" t="n">
        <x:v>32.71082803732251</x:v>
      </x:c>
    </x:row>
    <x:row r="12">
      <x:c r="A12" s="131" t="n">
        <x:v>0</x:v>
      </x:c>
      <x:c r="B12" s="57" t="n">
        <x:v>32.576328734950955</x:v>
      </x:c>
      <x:c r="C12" s="57" t="n">
        <x:v>30.815289381544623</x:v>
      </x:c>
      <x:c r="D12" s="57" t="n">
        <x:v>28.069028039768206</x:v>
      </x:c>
      <x:c r="E12" s="57" t="n">
        <x:v>23.57936144071014</x:v>
      </x:c>
      <x:c r="F12" s="57" t="n">
        <x:v>18.519843721026596</x:v>
      </x:c>
      <x:c r="G12" s="57" t="n">
        <x:v>15.346965469807898</x:v>
      </x:c>
      <x:c r="H12" s="57" t="n">
        <x:v>13.612358659658845</x:v>
      </x:c>
      <x:c r="I12" s="57" t="n">
        <x:v>12.730638051601609</x:v>
      </x:c>
      <x:c r="J12" s="57" t="n">
        <x:v>12.458403952828355</x:v>
      </x:c>
      <x:c r="K12" s="57" t="n">
        <x:v>12.730638051601609</x:v>
      </x:c>
      <x:c r="L12" s="57" t="n">
        <x:v>13.612358659658845</x:v>
      </x:c>
      <x:c r="M12" s="57" t="n">
        <x:v>15.346965469807898</x:v>
      </x:c>
      <x:c r="N12" s="57" t="n">
        <x:v>18.5198437210266</x:v>
      </x:c>
      <x:c r="O12" s="57" t="n">
        <x:v>23.579361440710144</x:v>
      </x:c>
      <x:c r="P12" s="57" t="n">
        <x:v>28.069028039768206</x:v>
      </x:c>
      <x:c r="Q12" s="57" t="n">
        <x:v>30.815289381544623</x:v>
      </x:c>
      <x:c r="R12" s="57" t="n">
        <x:v>32.57632873495096</x:v>
      </x:c>
    </x:row>
    <x:row r="13">
      <x:c r="A13" s="131" t="n">
        <x:v>-0.25</x:v>
      </x:c>
      <x:c r="B13" s="57" t="n">
        <x:v>32.7108280373225</x:v>
      </x:c>
      <x:c r="C13" s="57" t="n">
        <x:v>31.077457099025672</x:v>
      </x:c>
      <x:c r="D13" s="57" t="n">
        <x:v>28.69380560002099</x:v>
      </x:c>
      <x:c r="E13" s="57" t="n">
        <x:v>25.292444243419954</x:v>
      </x:c>
      <x:c r="F13" s="57" t="n">
        <x:v>21.652000166476338</x:v>
      </x:c>
      <x:c r="G13" s="57" t="n">
        <x:v>19.052413117336712</x:v>
      </x:c>
      <x:c r="H13" s="57" t="n">
        <x:v>17.500377538408465</x:v>
      </x:c>
      <x:c r="I13" s="57" t="n">
        <x:v>16.683179742750667</x:v>
      </x:c>
      <x:c r="J13" s="57" t="n">
        <x:v>16.427675260677823</x:v>
      </x:c>
      <x:c r="K13" s="57" t="n">
        <x:v>16.683179742750667</x:v>
      </x:c>
      <x:c r="L13" s="57" t="n">
        <x:v>17.500377538408465</x:v>
      </x:c>
      <x:c r="M13" s="57" t="n">
        <x:v>19.052413117336712</x:v>
      </x:c>
      <x:c r="N13" s="57" t="n">
        <x:v>21.652000166476345</x:v>
      </x:c>
      <x:c r="O13" s="57" t="n">
        <x:v>25.292444243419958</x:v>
      </x:c>
      <x:c r="P13" s="57" t="n">
        <x:v>28.693805600020994</x:v>
      </x:c>
      <x:c r="Q13" s="57" t="n">
        <x:v>31.077457099025672</x:v>
      </x:c>
      <x:c r="R13" s="57" t="n">
        <x:v>32.71082803732251</x:v>
      </x:c>
    </x:row>
    <x:row r="14">
      <x:c r="A14" s="131" t="n">
        <x:v>-0.5</x:v>
      </x:c>
      <x:c r="B14" s="57" t="n">
        <x:v>33.066904738940735</x:v>
      </x:c>
      <x:c r="C14" s="57" t="n">
        <x:v>31.71370061170709</x:v>
      </x:c>
      <x:c r="D14" s="57" t="n">
        <x:v>29.952280176827713</x:v>
      </x:c>
      <x:c r="E14" s="57" t="n">
        <x:v>27.80823467609943</x:v>
      </x:c>
      <x:c r="F14" s="57" t="n">
        <x:v>25.630392356625254</x:v>
      </x:c>
      <x:c r="G14" s="57" t="n">
        <x:v>23.873396346560618</x:v>
      </x:c>
      <x:c r="H14" s="57" t="n">
        <x:v>22.686907870097357</x:v>
      </x:c>
      <x:c r="I14" s="57" t="n">
        <x:v>22.019192189555188</x:v>
      </x:c>
      <x:c r="J14" s="57" t="n">
        <x:v>21.80466772606548</x:v>
      </x:c>
      <x:c r="K14" s="57" t="n">
        <x:v>22.019192189555188</x:v>
      </x:c>
      <x:c r="L14" s="57" t="n">
        <x:v>22.686907870097357</x:v>
      </x:c>
      <x:c r="M14" s="57" t="n">
        <x:v>23.873396346560618</x:v>
      </x:c>
      <x:c r="N14" s="57" t="n">
        <x:v>25.630392356625258</x:v>
      </x:c>
      <x:c r="O14" s="57" t="n">
        <x:v>27.808234676099435</x:v>
      </x:c>
      <x:c r="P14" s="57" t="n">
        <x:v>29.952280176827713</x:v>
      </x:c>
      <x:c r="Q14" s="57" t="n">
        <x:v>31.71370061170709</x:v>
      </x:c>
      <x:c r="R14" s="57" t="n">
        <x:v>33.066904738940735</x:v>
      </x:c>
    </x:row>
    <x:row r="15">
      <x:c r="A15" s="131" t="n">
        <x:v>-0.75</x:v>
      </x:c>
      <x:c r="B15" s="57" t="n">
        <x:v>33.547517652742734</x:v>
      </x:c>
      <x:c r="C15" s="57" t="n">
        <x:v>32.48152486085118</x:v>
      </x:c>
      <x:c r="D15" s="57" t="n">
        <x:v>31.213370972256314</x:v>
      </x:c>
      <x:c r="E15" s="57" t="n">
        <x:v>29.804152032128247</x:v>
      </x:c>
      <x:c r="F15" s="57" t="n">
        <x:v>28.416595352764737</x:v>
      </x:c>
      <x:c r="G15" s="57" t="n">
        <x:v>27.241052415772074</x:v>
      </x:c>
      <x:c r="H15" s="57" t="n">
        <x:v>26.387506220254508</x:v>
      </x:c>
      <x:c r="I15" s="57" t="n">
        <x:v>25.88105163790349</x:v>
      </x:c>
      <x:c r="J15" s="57" t="n">
        <x:v>25.71413690884143</x:v>
      </x:c>
      <x:c r="K15" s="57" t="n">
        <x:v>25.88105163790349</x:v>
      </x:c>
      <x:c r="L15" s="57" t="n">
        <x:v>26.387506220254508</x:v>
      </x:c>
      <x:c r="M15" s="57" t="n">
        <x:v>27.241052415772074</x:v>
      </x:c>
      <x:c r="N15" s="57" t="n">
        <x:v>28.41659535276474</x:v>
      </x:c>
      <x:c r="O15" s="57" t="n">
        <x:v>29.80415203212825</x:v>
      </x:c>
      <x:c r="P15" s="57" t="n">
        <x:v>31.213370972256314</x:v>
      </x:c>
      <x:c r="Q15" s="57" t="n">
        <x:v>32.48152486085118</x:v>
      </x:c>
      <x:c r="R15" s="57" t="n">
        <x:v>33.547517652742734</x:v>
      </x:c>
    </x:row>
    <x:row r="16">
      <x:c r="A16" s="131" t="n">
        <x:v>-1</x:v>
      </x:c>
      <x:c r="B16" s="57" t="n">
        <x:v>34.07057807084077</x:v>
      </x:c>
      <x:c r="C16" s="57" t="n">
        <x:v>33.24102804454884</x:v>
      </x:c>
      <x:c r="D16" s="57" t="n">
        <x:v>32.3132716792445</x:v>
      </x:c>
      <x:c r="E16" s="57" t="n">
        <x:v>31.33611967946311</x:v>
      </x:c>
      <x:c r="F16" s="57" t="n">
        <x:v>30.395257818650748</x:v>
      </x:c>
      <x:c r="G16" s="57" t="n">
        <x:v>29.585917928876036</x:v>
      </x:c>
      <x:c r="H16" s="57" t="n">
        <x:v>28.9779306666817</x:v>
      </x:c>
      <x:c r="I16" s="57" t="n">
        <x:v>28.605837355173</x:v>
      </x:c>
      <x:c r="J16" s="57" t="n">
        <x:v>28.481100866896377</x:v>
      </x:c>
      <x:c r="K16" s="57" t="n">
        <x:v>28.605837355173</x:v>
      </x:c>
      <x:c r="L16" s="57" t="n">
        <x:v>28.9779306666817</x:v>
      </x:c>
      <x:c r="M16" s="57" t="n">
        <x:v>29.585917928876036</x:v>
      </x:c>
      <x:c r="N16" s="57" t="n">
        <x:v>30.395257818650748</x:v>
      </x:c>
      <x:c r="O16" s="57" t="n">
        <x:v>31.33611967946311</x:v>
      </x:c>
      <x:c r="P16" s="57" t="n">
        <x:v>32.3132716792445</x:v>
      </x:c>
      <x:c r="Q16" s="57" t="n">
        <x:v>33.24102804454884</x:v>
      </x:c>
      <x:c r="R16" s="57" t="n">
        <x:v>34.070578070840774</x:v>
      </x:c>
    </x:row>
    <x:row r="17">
      <x:c r="A17" s="131" t="n">
        <x:v>-1.25</x:v>
      </x:c>
      <x:c r="B17" s="57" t="n">
        <x:v>34.587550274441355</x:v>
      </x:c>
      <x:c r="C17" s="57" t="n">
        <x:v>33.93955182695444</x:v>
      </x:c>
      <x:c r="D17" s="57" t="n">
        <x:v>33.24539704168936</x:v>
      </x:c>
      <x:c r="E17" s="57" t="n">
        <x:v>32.53975386284111</x:v>
      </x:c>
      <x:c r="F17" s="57" t="n">
        <x:v>31.87269482149633</x:v>
      </x:c>
      <x:c r="G17" s="57" t="n">
        <x:v>31.298296575009537</x:v>
      </x:c>
      <x:c r="H17" s="57" t="n">
        <x:v>30.861047640701535</x:v>
      </x:c>
      <x:c r="I17" s="57" t="n">
        <x:v>30.589403724607624</x:v>
      </x:c>
      <x:c r="J17" s="57" t="n">
        <x:v>30.49750021161628</x:v>
      </x:c>
      <x:c r="K17" s="57" t="n">
        <x:v>30.589403724607624</x:v>
      </x:c>
      <x:c r="L17" s="57" t="n">
        <x:v>30.861047640701535</x:v>
      </x:c>
      <x:c r="M17" s="57" t="n">
        <x:v>31.298296575009537</x:v>
      </x:c>
      <x:c r="N17" s="57" t="n">
        <x:v>31.87269482149633</x:v>
      </x:c>
      <x:c r="O17" s="57" t="n">
        <x:v>32.53975386284111</x:v>
      </x:c>
      <x:c r="P17" s="57" t="n">
        <x:v>33.24539704168936</x:v>
      </x:c>
      <x:c r="Q17" s="57" t="n">
        <x:v>33.93955182695444</x:v>
      </x:c>
      <x:c r="R17" s="57" t="n">
        <x:v>34.587550274441355</x:v>
      </x:c>
    </x:row>
    <x:row r="18">
      <x:c r="A18" s="131" t="n">
        <x:v>-1.5</x:v>
      </x:c>
      <x:c r="B18" s="57" t="n">
        <x:v>35.07506147494517</x:v>
      </x:c>
      <x:c r="C18" s="57" t="n">
        <x:v>34.564164282482736</x:v>
      </x:c>
      <x:c r="D18" s="57" t="n">
        <x:v>34.03388617679481</x:v>
      </x:c>
      <x:c r="E18" s="57" t="n">
        <x:v>33.50862169991099</x:v>
      </x:c>
      <x:c r="F18" s="57" t="n">
        <x:v>33.01994740771034</x:v>
      </x:c>
      <x:c r="G18" s="57" t="n">
        <x:v>32.6012667378033</x:v>
      </x:c>
      <x:c r="H18" s="57" t="n">
        <x:v>32.28164855042742</x:v>
      </x:c>
      <x:c r="I18" s="57" t="n">
        <x:v>32.08196384505736</x:v>
      </x:c>
      <x:c r="J18" s="57" t="n">
        <x:v>32.014135750763955</x:v>
      </x:c>
      <x:c r="K18" s="57" t="n">
        <x:v>32.08196384505736</x:v>
      </x:c>
      <x:c r="L18" s="57" t="n">
        <x:v>32.28164855042742</x:v>
      </x:c>
      <x:c r="M18" s="57" t="n">
        <x:v>32.6012667378033</x:v>
      </x:c>
      <x:c r="N18" s="57" t="n">
        <x:v>33.01994740771034</x:v>
      </x:c>
      <x:c r="O18" s="57" t="n">
        <x:v>33.50862169991099</x:v>
      </x:c>
      <x:c r="P18" s="57" t="n">
        <x:v>34.03388617679481</x:v>
      </x:c>
      <x:c r="Q18" s="57" t="n">
        <x:v>34.564164282482736</x:v>
      </x:c>
      <x:c r="R18" s="57" t="n">
        <x:v>35.07506147494517</x:v>
      </x:c>
    </x:row>
    <x:row r="19">
      <x:c r="A19" s="131" t="n">
        <x:v>-1.75</x:v>
      </x:c>
      <x:c r="B19" s="57" t="n">
        <x:v>35.52400432132207</x:v>
      </x:c>
      <x:c r="C19" s="57" t="n">
        <x:v>35.116872881250345</x:v>
      </x:c>
      <x:c r="D19" s="57" t="n">
        <x:v>34.70443768195073</x:v>
      </x:c>
      <x:c r="E19" s="57" t="n">
        <x:v>34.30409899656757</x:v>
      </x:c>
      <x:c r="F19" s="57" t="n">
        <x:v>33.9368652565028</x:v>
      </x:c>
      <x:c r="G19" s="57" t="n">
        <x:v>33.624558765915744</x:v>
      </x:c>
      <x:c r="H19" s="57" t="n">
        <x:v>33.386654721116834</x:v>
      </x:c>
      <x:c r="I19" s="57" t="n">
        <x:v>33.237925907416354</x:v>
      </x:c>
      <x:c r="J19" s="57" t="n">
        <x:v>33.1873546927783</x:v>
      </x:c>
      <x:c r="K19" s="57" t="n">
        <x:v>33.237925907416354</x:v>
      </x:c>
      <x:c r="L19" s="57" t="n">
        <x:v>33.386654721116834</x:v>
      </x:c>
      <x:c r="M19" s="57" t="n">
        <x:v>33.624558765915744</x:v>
      </x:c>
      <x:c r="N19" s="57" t="n">
        <x:v>33.9368652565028</x:v>
      </x:c>
      <x:c r="O19" s="57" t="n">
        <x:v>34.30409899656757</x:v>
      </x:c>
      <x:c r="P19" s="57" t="n">
        <x:v>34.70443768195073</x:v>
      </x:c>
      <x:c r="Q19" s="57" t="n">
        <x:v>35.116872881250345</x:v>
      </x:c>
      <x:c r="R19" s="57" t="n">
        <x:v>35.52400432132207</x:v>
      </x:c>
    </x:row>
    <x:row r="20">
      <x:c r="A20" s="131" t="n">
        <x:v>-2</x:v>
      </x:c>
      <x:c r="B20" s="57" t="n">
        <x:v>35.93248758213012</x:v>
      </x:c>
      <x:c r="C20" s="57" t="n">
        <x:v>35.60457362242084</x:v>
      </x:c>
      <x:c r="D20" s="57" t="n">
        <x:v>35.27877577042104</x:v>
      </x:c>
      <x:c r="E20" s="57" t="n">
        <x:v>34.967719897097886</x:v>
      </x:c>
      <x:c r="F20" s="57" t="n">
        <x:v>34.68592378113738</x:v>
      </x:c>
      <x:c r="G20" s="57" t="n">
        <x:v>34.44820566349662</x:v>
      </x:c>
      <x:c r="H20" s="57" t="n">
        <x:v>34.26790067733601</x:v>
      </x:c>
      <x:c r="I20" s="57" t="n">
        <x:v>34.15538176078987</x:v>
      </x:c>
      <x:c r="J20" s="57" t="n">
        <x:v>34.117142253568076</x:v>
      </x:c>
      <x:c r="K20" s="57" t="n">
        <x:v>34.15538176078987</x:v>
      </x:c>
      <x:c r="L20" s="57" t="n">
        <x:v>34.26790067733601</x:v>
      </x:c>
      <x:c r="M20" s="57" t="n">
        <x:v>34.44820566349662</x:v>
      </x:c>
      <x:c r="N20" s="57" t="n">
        <x:v>34.68592378113738</x:v>
      </x:c>
      <x:c r="O20" s="57" t="n">
        <x:v>34.967719897097886</x:v>
      </x:c>
      <x:c r="P20" s="57" t="n">
        <x:v>35.27877577042104</x:v>
      </x:c>
      <x:c r="Q20" s="57" t="n">
        <x:v>35.60457362242084</x:v>
      </x:c>
      <x:c r="R20" s="57" t="n">
        <x:v>35.93248758213012</x:v>
      </x:c>
    </x:row>
    <x:row r="23">
      <x:c r="A23" s="103" t="str">
        <x:v>MATRIZ REAL RECONSTRUÍDA — R_MTR (Ω)</x:v>
      </x:c>
      <x:c r="B23" s="103"/>
      <x:c r="C23" s="103"/>
      <x:c r="D23" s="103"/>
      <x:c r="E23" s="103"/>
      <x:c r="F23" s="103"/>
      <x:c r="G23" s="103"/>
      <x:c r="H23" s="103"/>
      <x:c r="I23" s="103"/>
      <x:c r="J23" s="103"/>
      <x:c r="K23" s="103"/>
      <x:c r="L23" s="103"/>
      <x:c r="M23" s="103"/>
      <x:c r="N23" s="103"/>
      <x:c r="O23" s="103"/>
      <x:c r="P23" s="103"/>
      <x:c r="Q23" s="103"/>
      <x:c r="R23" s="103"/>
    </x:row>
    <x:row r="25">
      <x:c r="A25" s="112" t="str">
        <x:v>y \ x</x:v>
      </x:c>
      <x:c r="B25" s="112" t="n">
        <x:v>-0.8</x:v>
      </x:c>
      <x:c r="C25" s="112" t="n">
        <x:v>-0.55</x:v>
      </x:c>
      <x:c r="D25" s="112" t="n">
        <x:v>-0.30000000000000004</x:v>
      </x:c>
      <x:c r="E25" s="112" t="n">
        <x:v>-0.050000000000000044</x:v>
      </x:c>
      <x:c r="F25" s="112" t="n">
        <x:v>0.19999999999999996</x:v>
      </x:c>
      <x:c r="G25" s="112" t="n">
        <x:v>0.44999999999999996</x:v>
      </x:c>
      <x:c r="H25" s="112" t="n">
        <x:v>0.7</x:v>
      </x:c>
      <x:c r="I25" s="112" t="n">
        <x:v>0.95</x:v>
      </x:c>
      <x:c r="J25" s="112" t="n">
        <x:v>1.2</x:v>
      </x:c>
      <x:c r="K25" s="112" t="n">
        <x:v>1.45</x:v>
      </x:c>
      <x:c r="L25" s="112" t="n">
        <x:v>1.7</x:v>
      </x:c>
      <x:c r="M25" s="112" t="n">
        <x:v>1.95</x:v>
      </x:c>
      <x:c r="N25" s="112" t="n">
        <x:v>2.2</x:v>
      </x:c>
      <x:c r="O25" s="112" t="n">
        <x:v>2.45</x:v>
      </x:c>
      <x:c r="P25" s="112" t="n">
        <x:v>2.7</x:v>
      </x:c>
      <x:c r="Q25" s="112" t="n">
        <x:v>2.95</x:v>
      </x:c>
      <x:c r="R25" s="112" t="n">
        <x:v>3.2</x:v>
      </x:c>
    </x:row>
    <x:row r="26">
      <x:c r="A26" s="131" t="n">
        <x:v>2</x:v>
      </x:c>
      <x:c r="B26" s="57" t="n">
        <x:v>35.2</x:v>
      </x:c>
      <x:c r="C26" s="57" t="n">
        <x:v>36.4</x:v>
      </x:c>
      <x:c r="D26" s="57" t="n">
        <x:v>35</x:v>
      </x:c>
      <x:c r="E26" s="57" t="n">
        <x:v>34.1</x:v>
      </x:c>
      <x:c r="F26" s="57" t="n">
        <x:v>34.2</x:v>
      </x:c>
      <x:c r="G26" s="57" t="n">
        <x:v>36.1</x:v>
      </x:c>
      <x:c r="H26" s="57" t="n">
        <x:v>32.5</x:v>
      </x:c>
      <x:c r="I26" s="57" t="n">
        <x:v>36.2</x:v>
      </x:c>
      <x:c r="J26" s="57" t="n">
        <x:v>36.7</x:v>
      </x:c>
      <x:c r="K26" s="57" t="n">
        <x:v>34.3</x:v>
      </x:c>
      <x:c r="L26" s="57" t="n">
        <x:v>34.8</x:v>
      </x:c>
      <x:c r="M26" s="57" t="n">
        <x:v>32.1</x:v>
      </x:c>
      <x:c r="N26" s="57" t="n">
        <x:v>39</x:v>
      </x:c>
      <x:c r="O26" s="57" t="n">
        <x:v>36.9</x:v>
      </x:c>
      <x:c r="P26" s="57" t="n">
        <x:v>35.8</x:v>
      </x:c>
      <x:c r="Q26" s="57" t="n">
        <x:v>35.9</x:v>
      </x:c>
      <x:c r="R26" s="57" t="n">
        <x:v>37</x:v>
      </x:c>
    </x:row>
    <x:row r="27">
      <x:c r="A27" s="131" t="n">
        <x:v>1.75</x:v>
      </x:c>
      <x:c r="B27" s="57" t="n">
        <x:v>38.2</x:v>
      </x:c>
      <x:c r="C27" s="57" t="n">
        <x:v>36.3</x:v>
      </x:c>
      <x:c r="D27" s="57" t="n">
        <x:v>34.7</x:v>
      </x:c>
      <x:c r="E27" s="57" t="n">
        <x:v>34.5</x:v>
      </x:c>
      <x:c r="F27" s="57" t="n">
        <x:v>31.6</x:v>
      </x:c>
      <x:c r="G27" s="57" t="n">
        <x:v>29.9</x:v>
      </x:c>
      <x:c r="H27" s="57" t="n">
        <x:v>32.1</x:v>
      </x:c>
      <x:c r="I27" s="57" t="n">
        <x:v>33.3</x:v>
      </x:c>
      <x:c r="J27" s="57" t="n">
        <x:v>34.2</x:v>
      </x:c>
      <x:c r="K27" s="57" t="n">
        <x:v>30</x:v>
      </x:c>
      <x:c r="L27" s="57" t="n">
        <x:v>30.3</x:v>
      </x:c>
      <x:c r="M27" s="57" t="n">
        <x:v>33.7</x:v>
      </x:c>
      <x:c r="N27" s="57" t="n">
        <x:v>31.3</x:v>
      </x:c>
      <x:c r="O27" s="57" t="n">
        <x:v>35.6</x:v>
      </x:c>
      <x:c r="P27" s="57" t="n">
        <x:v>38.5</x:v>
      </x:c>
      <x:c r="Q27" s="57" t="n">
        <x:v>36.5</x:v>
      </x:c>
      <x:c r="R27" s="57" t="n">
        <x:v>33.4</x:v>
      </x:c>
    </x:row>
    <x:row r="28">
      <x:c r="A28" s="131" t="n">
        <x:v>1.5</x:v>
      </x:c>
      <x:c r="B28" s="57" t="n">
        <x:v>36.2</x:v>
      </x:c>
      <x:c r="C28" s="57" t="n">
        <x:v>38.6</x:v>
      </x:c>
      <x:c r="D28" s="57" t="n">
        <x:v>38.7</x:v>
      </x:c>
      <x:c r="E28" s="57" t="n">
        <x:v>35.4</x:v>
      </x:c>
      <x:c r="F28" s="57" t="n">
        <x:v>34.3</x:v>
      </x:c>
      <x:c r="G28" s="57" t="n">
        <x:v>30.9</x:v>
      </x:c>
      <x:c r="H28" s="57" t="n">
        <x:v>30.6</x:v>
      </x:c>
      <x:c r="I28" s="57" t="n">
        <x:v>33.3</x:v>
      </x:c>
      <x:c r="J28" s="57" t="n">
        <x:v>32</x:v>
      </x:c>
      <x:c r="K28" s="57" t="n">
        <x:v>30</x:v>
      </x:c>
      <x:c r="L28" s="57" t="n">
        <x:v>32.1</x:v>
      </x:c>
      <x:c r="M28" s="57" t="n">
        <x:v>33.2</x:v>
      </x:c>
      <x:c r="N28" s="57" t="n">
        <x:v>34.6</x:v>
      </x:c>
      <x:c r="O28" s="57" t="n">
        <x:v>33.3</x:v>
      </x:c>
      <x:c r="P28" s="57" t="n">
        <x:v>33.6</x:v>
      </x:c>
      <x:c r="Q28" s="57" t="n">
        <x:v>34.5</x:v>
      </x:c>
      <x:c r="R28" s="57" t="n">
        <x:v>35.3</x:v>
      </x:c>
    </x:row>
    <x:row r="29">
      <x:c r="A29" s="131" t="n">
        <x:v>1.25</x:v>
      </x:c>
      <x:c r="B29" s="57" t="n">
        <x:v>36.2</x:v>
      </x:c>
      <x:c r="C29" s="57" t="n">
        <x:v>35.4</x:v>
      </x:c>
      <x:c r="D29" s="57" t="n">
        <x:v>31.5</x:v>
      </x:c>
      <x:c r="E29" s="57" t="n">
        <x:v>36.3</x:v>
      </x:c>
      <x:c r="F29" s="57" t="n">
        <x:v>34.6</x:v>
      </x:c>
      <x:c r="G29" s="57" t="n">
        <x:v>34.1</x:v>
      </x:c>
      <x:c r="H29" s="57" t="n">
        <x:v>33.8</x:v>
      </x:c>
      <x:c r="I29" s="57" t="n">
        <x:v>30.6</x:v>
      </x:c>
      <x:c r="J29" s="57" t="n">
        <x:v>30.6</x:v>
      </x:c>
      <x:c r="K29" s="57" t="n">
        <x:v>29.2</x:v>
      </x:c>
      <x:c r="L29" s="57" t="n">
        <x:v>30.1</x:v>
      </x:c>
      <x:c r="M29" s="57" t="n">
        <x:v>30.6</x:v>
      </x:c>
      <x:c r="N29" s="57" t="n">
        <x:v>32</x:v>
      </x:c>
      <x:c r="O29" s="57" t="n">
        <x:v>33.6</x:v>
      </x:c>
      <x:c r="P29" s="57" t="n">
        <x:v>32.8</x:v>
      </x:c>
      <x:c r="Q29" s="57" t="n">
        <x:v>33.5</x:v>
      </x:c>
      <x:c r="R29" s="57" t="n">
        <x:v>34</x:v>
      </x:c>
    </x:row>
    <x:row r="30">
      <x:c r="A30" s="131" t="n">
        <x:v>1</x:v>
      </x:c>
      <x:c r="B30" s="57" t="n">
        <x:v>35</x:v>
      </x:c>
      <x:c r="C30" s="57" t="n">
        <x:v>35.3</x:v>
      </x:c>
      <x:c r="D30" s="57" t="n">
        <x:v>31.9</x:v>
      </x:c>
      <x:c r="E30" s="57" t="n">
        <x:v>33</x:v>
      </x:c>
      <x:c r="F30" s="57" t="n">
        <x:v>31.8</x:v>
      </x:c>
      <x:c r="G30" s="57" t="n">
        <x:v>30.2</x:v>
      </x:c>
      <x:c r="H30" s="57" t="n">
        <x:v>28.7</x:v>
      </x:c>
      <x:c r="I30" s="57" t="n">
        <x:v>29.6</x:v>
      </x:c>
      <x:c r="J30" s="57" t="n">
        <x:v>30.2</x:v>
      </x:c>
      <x:c r="K30" s="57" t="n">
        <x:v>27.5</x:v>
      </x:c>
      <x:c r="L30" s="57" t="n">
        <x:v>29.5</x:v>
      </x:c>
      <x:c r="M30" s="57" t="n">
        <x:v>30.1</x:v>
      </x:c>
      <x:c r="N30" s="57" t="n">
        <x:v>29.8</x:v>
      </x:c>
      <x:c r="O30" s="57" t="n">
        <x:v>30.8</x:v>
      </x:c>
      <x:c r="P30" s="57" t="n">
        <x:v>30.3</x:v>
      </x:c>
      <x:c r="Q30" s="57" t="n">
        <x:v>31.9</x:v>
      </x:c>
      <x:c r="R30" s="57" t="n">
        <x:v>31.9</x:v>
      </x:c>
    </x:row>
    <x:row r="31">
      <x:c r="A31" s="131" t="n">
        <x:v>0.75</x:v>
      </x:c>
      <x:c r="B31" s="57" t="n">
        <x:v>34.2</x:v>
      </x:c>
      <x:c r="C31" s="57" t="n">
        <x:v>32.9</x:v>
      </x:c>
      <x:c r="D31" s="57" t="n">
        <x:v>32.2</x:v>
      </x:c>
      <x:c r="E31" s="57" t="n">
        <x:v>30.4</x:v>
      </x:c>
      <x:c r="F31" s="57" t="n">
        <x:v>28.9</x:v>
      </x:c>
      <x:c r="G31" s="57" t="n">
        <x:v>27.6</x:v>
      </x:c>
      <x:c r="H31" s="57" t="n">
        <x:v>27.1</x:v>
      </x:c>
      <x:c r="I31" s="57" t="n">
        <x:v>24.2</x:v>
      </x:c>
      <x:c r="J31" s="57" t="n">
        <x:v>24</x:v>
      </x:c>
      <x:c r="K31" s="57" t="n">
        <x:v>26.3</x:v>
      </x:c>
      <x:c r="L31" s="57" t="n">
        <x:v>26.9</x:v>
      </x:c>
      <x:c r="M31" s="57" t="n">
        <x:v>28.5</x:v>
      </x:c>
      <x:c r="N31" s="57" t="n">
        <x:v>28</x:v>
      </x:c>
      <x:c r="O31" s="57" t="n">
        <x:v>30.1</x:v>
      </x:c>
      <x:c r="P31" s="57" t="n">
        <x:v>32.2</x:v>
      </x:c>
      <x:c r="Q31" s="57" t="n">
        <x:v>27.9</x:v>
      </x:c>
      <x:c r="R31" s="57" t="n">
        <x:v>33.3</x:v>
      </x:c>
    </x:row>
    <x:row r="32">
      <x:c r="A32" s="131" t="n">
        <x:v>0.5</x:v>
      </x:c>
      <x:c r="B32" s="57" t="n">
        <x:v>33.6</x:v>
      </x:c>
      <x:c r="C32" s="57" t="n">
        <x:v>32.5</x:v>
      </x:c>
      <x:c r="D32" s="57" t="n">
        <x:v>28.8</x:v>
      </x:c>
      <x:c r="E32" s="57" t="n">
        <x:v>29.6</x:v>
      </x:c>
      <x:c r="F32" s="57" t="n">
        <x:v>24.4</x:v>
      </x:c>
      <x:c r="G32" s="57" t="n">
        <x:v>21.6</x:v>
      </x:c>
      <x:c r="H32" s="57" t="n">
        <x:v>24.3</x:v>
      </x:c>
      <x:c r="I32" s="57" t="n">
        <x:v>21.5</x:v>
      </x:c>
      <x:c r="J32" s="57" t="n">
        <x:v>21.8</x:v>
      </x:c>
      <x:c r="K32" s="57" t="n">
        <x:v>24.2</x:v>
      </x:c>
      <x:c r="L32" s="57" t="n">
        <x:v>24.2</x:v>
      </x:c>
      <x:c r="M32" s="57" t="n">
        <x:v>24.6</x:v>
      </x:c>
      <x:c r="N32" s="57" t="n">
        <x:v>27</x:v>
      </x:c>
      <x:c r="O32" s="57" t="n">
        <x:v>26.8</x:v>
      </x:c>
      <x:c r="P32" s="57" t="n">
        <x:v>31.2</x:v>
      </x:c>
      <x:c r="Q32" s="57" t="n">
        <x:v>33.6</x:v>
      </x:c>
      <x:c r="R32" s="57" t="n">
        <x:v>34.4</x:v>
      </x:c>
    </x:row>
    <x:row r="33">
      <x:c r="A33" s="131" t="n">
        <x:v>0.25</x:v>
      </x:c>
      <x:c r="B33" s="57" t="n">
        <x:v>34.9</x:v>
      </x:c>
      <x:c r="C33" s="57" t="n">
        <x:v>29.6</x:v>
      </x:c>
      <x:c r="D33" s="57" t="n">
        <x:v>29.7</x:v>
      </x:c>
      <x:c r="E33" s="57" t="n">
        <x:v>26.2</x:v>
      </x:c>
      <x:c r="F33" s="57" t="n">
        <x:v>20.6</x:v>
      </x:c>
      <x:c r="G33" s="57" t="n">
        <x:v>21.6</x:v>
      </x:c>
      <x:c r="H33" s="57" t="n">
        <x:v>16.6</x:v>
      </x:c>
      <x:c r="I33" s="57" t="n">
        <x:v>17.2</x:v>
      </x:c>
      <x:c r="J33" s="57" t="n">
        <x:v>18.8</x:v>
      </x:c>
      <x:c r="K33" s="57" t="n">
        <x:v>17.2</x:v>
      </x:c>
      <x:c r="L33" s="57" t="n">
        <x:v>18.1</x:v>
      </x:c>
      <x:c r="M33" s="57" t="n">
        <x:v>19.5</x:v>
      </x:c>
      <x:c r="N33" s="57" t="n">
        <x:v>19.1</x:v>
      </x:c>
      <x:c r="O33" s="57" t="n">
        <x:v>24.7</x:v>
      </x:c>
      <x:c r="P33" s="57" t="n">
        <x:v>26.6</x:v>
      </x:c>
      <x:c r="Q33" s="57" t="n">
        <x:v>32.4</x:v>
      </x:c>
      <x:c r="R33" s="57" t="n">
        <x:v>31.3</x:v>
      </x:c>
    </x:row>
    <x:row r="34">
      <x:c r="A34" s="131" t="n">
        <x:v>0</x:v>
      </x:c>
      <x:c r="B34" s="57" t="n">
        <x:v>34.3</x:v>
      </x:c>
      <x:c r="C34" s="57" t="n">
        <x:v>34</x:v>
      </x:c>
      <x:c r="D34" s="57" t="n">
        <x:v>26.9</x:v>
      </x:c>
      <x:c r="E34" s="57" t="n">
        <x:v>20.8</x:v>
      </x:c>
      <x:c r="F34" s="57" t="n">
        <x:v>20.1</x:v>
      </x:c>
      <x:c r="G34" s="57" t="n">
        <x:v>14.4</x:v>
      </x:c>
      <x:c r="H34" s="57" t="n">
        <x:v>13.8</x:v>
      </x:c>
      <x:c r="I34" s="57" t="n">
        <x:v>13</x:v>
      </x:c>
      <x:c r="J34" s="57" t="n">
        <x:v>11.9</x:v>
      </x:c>
      <x:c r="K34" s="57" t="n">
        <x:v>13.8</x:v>
      </x:c>
      <x:c r="L34" s="57" t="n">
        <x:v>14.8</x:v>
      </x:c>
      <x:c r="M34" s="57" t="n">
        <x:v>15.8</x:v>
      </x:c>
      <x:c r="N34" s="57" t="n">
        <x:v>18.6</x:v>
      </x:c>
      <x:c r="O34" s="57" t="n">
        <x:v>23.9</x:v>
      </x:c>
      <x:c r="P34" s="57" t="n">
        <x:v>26.6</x:v>
      </x:c>
      <x:c r="Q34" s="57" t="n">
        <x:v>30.5</x:v>
      </x:c>
      <x:c r="R34" s="57" t="n">
        <x:v>32.5</x:v>
      </x:c>
    </x:row>
    <x:row r="35">
      <x:c r="A35" s="131" t="n">
        <x:v>-0.25</x:v>
      </x:c>
      <x:c r="B35" s="57" t="n">
        <x:v>36.6</x:v>
      </x:c>
      <x:c r="C35" s="57" t="n">
        <x:v>30.7</x:v>
      </x:c>
      <x:c r="D35" s="57" t="n">
        <x:v>26.9</x:v>
      </x:c>
      <x:c r="E35" s="57" t="n">
        <x:v>26.7</x:v>
      </x:c>
      <x:c r="F35" s="57" t="n">
        <x:v>20.7</x:v>
      </x:c>
      <x:c r="G35" s="57" t="n">
        <x:v>17.3</x:v>
      </x:c>
      <x:c r="H35" s="57" t="n">
        <x:v>16.8</x:v>
      </x:c>
      <x:c r="I35" s="57" t="n">
        <x:v>16.7</x:v>
      </x:c>
      <x:c r="J35" s="57" t="n">
        <x:v>18</x:v>
      </x:c>
      <x:c r="K35" s="57" t="n">
        <x:v>17.1</x:v>
      </x:c>
      <x:c r="L35" s="57" t="n">
        <x:v>19</x:v>
      </x:c>
      <x:c r="M35" s="57" t="n">
        <x:v>20</x:v>
      </x:c>
      <x:c r="N35" s="57" t="n">
        <x:v>23.1</x:v>
      </x:c>
      <x:c r="O35" s="57" t="n">
        <x:v>24.8</x:v>
      </x:c>
      <x:c r="P35" s="57" t="n">
        <x:v>28.5</x:v>
      </x:c>
      <x:c r="Q35" s="57" t="n">
        <x:v>33.3</x:v>
      </x:c>
      <x:c r="R35" s="57" t="n">
        <x:v>34</x:v>
      </x:c>
    </x:row>
    <x:row r="36">
      <x:c r="A36" s="131" t="n">
        <x:v>-0.5</x:v>
      </x:c>
      <x:c r="B36" s="57" t="n">
        <x:v>35</x:v>
      </x:c>
      <x:c r="C36" s="57" t="n">
        <x:v>31.5</x:v>
      </x:c>
      <x:c r="D36" s="57" t="n">
        <x:v>32.4</x:v>
      </x:c>
      <x:c r="E36" s="57" t="n">
        <x:v>28.4</x:v>
      </x:c>
      <x:c r="F36" s="57" t="n">
        <x:v>25.9</x:v>
      </x:c>
      <x:c r="G36" s="57" t="n">
        <x:v>24.8</x:v>
      </x:c>
      <x:c r="H36" s="57" t="n">
        <x:v>23.5</x:v>
      </x:c>
      <x:c r="I36" s="57" t="n">
        <x:v>23.6</x:v>
      </x:c>
      <x:c r="J36" s="57" t="n">
        <x:v>21.2</x:v>
      </x:c>
      <x:c r="K36" s="57" t="n">
        <x:v>19.8</x:v>
      </x:c>
      <x:c r="L36" s="57" t="n">
        <x:v>23.1</x:v>
      </x:c>
      <x:c r="M36" s="57" t="n">
        <x:v>23.5</x:v>
      </x:c>
      <x:c r="N36" s="57" t="n">
        <x:v>25.7</x:v>
      </x:c>
      <x:c r="O36" s="57" t="n">
        <x:v>30.6</x:v>
      </x:c>
      <x:c r="P36" s="57" t="n">
        <x:v>28.7</x:v>
      </x:c>
      <x:c r="Q36" s="57" t="n">
        <x:v>33.4</x:v>
      </x:c>
      <x:c r="R36" s="57" t="n">
        <x:v>35.2</x:v>
      </x:c>
    </x:row>
    <x:row r="37">
      <x:c r="A37" s="131" t="n">
        <x:v>-0.75</x:v>
      </x:c>
      <x:c r="B37" s="57" t="n">
        <x:v>33.8</x:v>
      </x:c>
      <x:c r="C37" s="57" t="n">
        <x:v>29.5</x:v>
      </x:c>
      <x:c r="D37" s="57" t="n">
        <x:v>29.8</x:v>
      </x:c>
      <x:c r="E37" s="57" t="n">
        <x:v>28.4</x:v>
      </x:c>
      <x:c r="F37" s="57" t="n">
        <x:v>29</x:v>
      </x:c>
      <x:c r="G37" s="57" t="n">
        <x:v>26.9</x:v>
      </x:c>
      <x:c r="H37" s="57" t="n">
        <x:v>29.3</x:v>
      </x:c>
      <x:c r="I37" s="57" t="n">
        <x:v>26.2</x:v>
      </x:c>
      <x:c r="J37" s="57" t="n">
        <x:v>24.1</x:v>
      </x:c>
      <x:c r="K37" s="57" t="n">
        <x:v>23.6</x:v>
      </x:c>
      <x:c r="L37" s="57" t="n">
        <x:v>23.8</x:v>
      </x:c>
      <x:c r="M37" s="57" t="n">
        <x:v>28.1</x:v>
      </x:c>
      <x:c r="N37" s="57" t="n">
        <x:v>29.5</x:v>
      </x:c>
      <x:c r="O37" s="57" t="n">
        <x:v>28.5</x:v>
      </x:c>
      <x:c r="P37" s="57" t="n">
        <x:v>30.9</x:v>
      </x:c>
      <x:c r="Q37" s="57" t="n">
        <x:v>31.4</x:v>
      </x:c>
      <x:c r="R37" s="57" t="n">
        <x:v>31.4</x:v>
      </x:c>
    </x:row>
    <x:row r="38">
      <x:c r="A38" s="131" t="n">
        <x:v>-1</x:v>
      </x:c>
      <x:c r="B38" s="57" t="n">
        <x:v>31.9</x:v>
      </x:c>
      <x:c r="C38" s="57" t="n">
        <x:v>33.4</x:v>
      </x:c>
      <x:c r="D38" s="57" t="n">
        <x:v>29.3</x:v>
      </x:c>
      <x:c r="E38" s="57" t="n">
        <x:v>30.1</x:v>
      </x:c>
      <x:c r="F38" s="57" t="n">
        <x:v>33.8</x:v>
      </x:c>
      <x:c r="G38" s="57" t="n">
        <x:v>28.6</x:v>
      </x:c>
      <x:c r="H38" s="57" t="n">
        <x:v>30.5</x:v>
      </x:c>
      <x:c r="I38" s="57" t="n">
        <x:v>29.2</x:v>
      </x:c>
      <x:c r="J38" s="57" t="n">
        <x:v>28.2</x:v>
      </x:c>
      <x:c r="K38" s="57" t="n">
        <x:v>27.6</x:v>
      </x:c>
      <x:c r="L38" s="57" t="n">
        <x:v>30.8</x:v>
      </x:c>
      <x:c r="M38" s="57" t="n">
        <x:v>29.3</x:v>
      </x:c>
      <x:c r="N38" s="57" t="n">
        <x:v>32.7</x:v>
      </x:c>
      <x:c r="O38" s="57" t="n">
        <x:v>30.1</x:v>
      </x:c>
      <x:c r="P38" s="57" t="n">
        <x:v>32.4</x:v>
      </x:c>
      <x:c r="Q38" s="57" t="n">
        <x:v>34</x:v>
      </x:c>
      <x:c r="R38" s="57" t="n">
        <x:v>34.7</x:v>
      </x:c>
    </x:row>
    <x:row r="39">
      <x:c r="A39" s="131" t="n">
        <x:v>-1.25</x:v>
      </x:c>
      <x:c r="B39" s="57" t="n">
        <x:v>35</x:v>
      </x:c>
      <x:c r="C39" s="57" t="n">
        <x:v>32.8</x:v>
      </x:c>
      <x:c r="D39" s="57" t="n">
        <x:v>35.4</x:v>
      </x:c>
      <x:c r="E39" s="57" t="n">
        <x:v>31</x:v>
      </x:c>
      <x:c r="F39" s="57" t="n">
        <x:v>29.5</x:v>
      </x:c>
      <x:c r="G39" s="57" t="n">
        <x:v>29.7</x:v>
      </x:c>
      <x:c r="H39" s="57" t="n">
        <x:v>29.3</x:v>
      </x:c>
      <x:c r="I39" s="57" t="n">
        <x:v>29</x:v>
      </x:c>
      <x:c r="J39" s="57" t="n">
        <x:v>29.6</x:v>
      </x:c>
      <x:c r="K39" s="57" t="n">
        <x:v>32.6</x:v>
      </x:c>
      <x:c r="L39" s="57" t="n">
        <x:v>31.3</x:v>
      </x:c>
      <x:c r="M39" s="57" t="n">
        <x:v>30.9</x:v>
      </x:c>
      <x:c r="N39" s="57" t="n">
        <x:v>31.9</x:v>
      </x:c>
      <x:c r="O39" s="57" t="n">
        <x:v>31.9</x:v>
      </x:c>
      <x:c r="P39" s="57" t="n">
        <x:v>35</x:v>
      </x:c>
      <x:c r="Q39" s="57" t="n">
        <x:v>32.9</x:v>
      </x:c>
      <x:c r="R39" s="57" t="n">
        <x:v>36.2</x:v>
      </x:c>
    </x:row>
    <x:row r="40">
      <x:c r="A40" s="131" t="n">
        <x:v>-1.5</x:v>
      </x:c>
      <x:c r="B40" s="57" t="n">
        <x:v>34</x:v>
      </x:c>
      <x:c r="C40" s="57" t="n">
        <x:v>36.2</x:v>
      </x:c>
      <x:c r="D40" s="57" t="n">
        <x:v>33.6</x:v>
      </x:c>
      <x:c r="E40" s="57" t="n">
        <x:v>33.1</x:v>
      </x:c>
      <x:c r="F40" s="57" t="n">
        <x:v>34.3</x:v>
      </x:c>
      <x:c r="G40" s="57" t="n">
        <x:v>34.4</x:v>
      </x:c>
      <x:c r="H40" s="57" t="n">
        <x:v>33</x:v>
      </x:c>
      <x:c r="I40" s="57" t="n">
        <x:v>31.4</x:v>
      </x:c>
      <x:c r="J40" s="57" t="n">
        <x:v>31</x:v>
      </x:c>
      <x:c r="K40" s="57" t="n">
        <x:v>34.8</x:v>
      </x:c>
      <x:c r="L40" s="57" t="n">
        <x:v>33.5</x:v>
      </x:c>
      <x:c r="M40" s="57" t="n">
        <x:v>34.1</x:v>
      </x:c>
      <x:c r="N40" s="57" t="n">
        <x:v>37</x:v>
      </x:c>
      <x:c r="O40" s="57" t="n">
        <x:v>32.3</x:v>
      </x:c>
      <x:c r="P40" s="57" t="n">
        <x:v>38.7</x:v>
      </x:c>
      <x:c r="Q40" s="57" t="n">
        <x:v>39.5</x:v>
      </x:c>
      <x:c r="R40" s="57" t="n">
        <x:v>38.2</x:v>
      </x:c>
    </x:row>
    <x:row r="41">
      <x:c r="A41" s="131" t="n">
        <x:v>-1.75</x:v>
      </x:c>
      <x:c r="B41" s="57" t="n">
        <x:v>38.1</x:v>
      </x:c>
      <x:c r="C41" s="57" t="n">
        <x:v>37.1</x:v>
      </x:c>
      <x:c r="D41" s="57" t="n">
        <x:v>37.6</x:v>
      </x:c>
      <x:c r="E41" s="57" t="n">
        <x:v>32.8</x:v>
      </x:c>
      <x:c r="F41" s="57" t="n">
        <x:v>34.8</x:v>
      </x:c>
      <x:c r="G41" s="57" t="n">
        <x:v>32</x:v>
      </x:c>
      <x:c r="H41" s="57" t="n">
        <x:v>36.2</x:v>
      </x:c>
      <x:c r="I41" s="57" t="n">
        <x:v>32.5</x:v>
      </x:c>
      <x:c r="J41" s="57" t="n">
        <x:v>36.8</x:v>
      </x:c>
      <x:c r="K41" s="57" t="n">
        <x:v>34.9</x:v>
      </x:c>
      <x:c r="L41" s="57" t="n">
        <x:v>33.7</x:v>
      </x:c>
      <x:c r="M41" s="57" t="n">
        <x:v>33.8</x:v>
      </x:c>
      <x:c r="N41" s="57" t="n">
        <x:v>35.6</x:v>
      </x:c>
      <x:c r="O41" s="57" t="n">
        <x:v>34</x:v>
      </x:c>
      <x:c r="P41" s="57" t="n">
        <x:v>32.8</x:v>
      </x:c>
      <x:c r="Q41" s="57" t="n">
        <x:v>35.4</x:v>
      </x:c>
      <x:c r="R41" s="57" t="n">
        <x:v>37</x:v>
      </x:c>
    </x:row>
    <x:row r="42">
      <x:c r="A42" s="131" t="n">
        <x:v>-2</x:v>
      </x:c>
      <x:c r="B42" s="57" t="n">
        <x:v>34.7</x:v>
      </x:c>
      <x:c r="C42" s="57" t="n">
        <x:v>36.3</x:v>
      </x:c>
      <x:c r="D42" s="57" t="n">
        <x:v>32.1</x:v>
      </x:c>
      <x:c r="E42" s="57" t="n">
        <x:v>37.7</x:v>
      </x:c>
      <x:c r="F42" s="57" t="n">
        <x:v>36.1</x:v>
      </x:c>
      <x:c r="G42" s="57" t="n">
        <x:v>34.3</x:v>
      </x:c>
      <x:c r="H42" s="57" t="n">
        <x:v>34.1</x:v>
      </x:c>
      <x:c r="I42" s="57" t="n">
        <x:v>35</x:v>
      </x:c>
      <x:c r="J42" s="57" t="n">
        <x:v>34</x:v>
      </x:c>
      <x:c r="K42" s="57" t="n">
        <x:v>34.2</x:v>
      </x:c>
      <x:c r="L42" s="57" t="n">
        <x:v>35.9</x:v>
      </x:c>
      <x:c r="M42" s="57" t="n">
        <x:v>35.8</x:v>
      </x:c>
      <x:c r="N42" s="57" t="n">
        <x:v>35</x:v>
      </x:c>
      <x:c r="O42" s="57" t="n">
        <x:v>35.3</x:v>
      </x:c>
      <x:c r="P42" s="57" t="n">
        <x:v>36.1</x:v>
      </x:c>
      <x:c r="Q42" s="57" t="n">
        <x:v>35</x:v>
      </x:c>
      <x:c r="R42" s="57" t="n">
        <x:v>35.7</x:v>
      </x:c>
    </x:row>
    <x:row r="45">
      <x:c r="A45" s="103" t="str">
        <x:v>RESÍDUO REAL − IDEAL (Ω)</x:v>
      </x:c>
      <x:c r="B45" s="103"/>
      <x:c r="C45" s="103"/>
      <x:c r="D45" s="103"/>
      <x:c r="E45" s="103"/>
      <x:c r="F45" s="103"/>
      <x:c r="G45" s="103"/>
      <x:c r="H45" s="103"/>
      <x:c r="I45" s="103"/>
      <x:c r="J45" s="103"/>
      <x:c r="K45" s="103"/>
      <x:c r="L45" s="103"/>
      <x:c r="M45" s="103"/>
      <x:c r="N45" s="103"/>
      <x:c r="O45" s="103"/>
      <x:c r="P45" s="103"/>
      <x:c r="Q45" s="103"/>
      <x:c r="R45" s="103"/>
    </x:row>
    <x:row r="47">
      <x:c r="A47" s="112" t="str">
        <x:v>y \ x</x:v>
      </x:c>
      <x:c r="B47" s="112" t="n">
        <x:v>-0.8</x:v>
      </x:c>
      <x:c r="C47" s="112" t="n">
        <x:v>-0.55</x:v>
      </x:c>
      <x:c r="D47" s="112" t="n">
        <x:v>-0.30000000000000004</x:v>
      </x:c>
      <x:c r="E47" s="112" t="n">
        <x:v>-0.050000000000000044</x:v>
      </x:c>
      <x:c r="F47" s="112" t="n">
        <x:v>0.19999999999999996</x:v>
      </x:c>
      <x:c r="G47" s="112" t="n">
        <x:v>0.44999999999999996</x:v>
      </x:c>
      <x:c r="H47" s="112" t="n">
        <x:v>0.7</x:v>
      </x:c>
      <x:c r="I47" s="112" t="n">
        <x:v>0.95</x:v>
      </x:c>
      <x:c r="J47" s="112" t="n">
        <x:v>1.2</x:v>
      </x:c>
      <x:c r="K47" s="112" t="n">
        <x:v>1.45</x:v>
      </x:c>
      <x:c r="L47" s="112" t="n">
        <x:v>1.7</x:v>
      </x:c>
      <x:c r="M47" s="112" t="n">
        <x:v>1.95</x:v>
      </x:c>
      <x:c r="N47" s="112" t="n">
        <x:v>2.2</x:v>
      </x:c>
      <x:c r="O47" s="112" t="n">
        <x:v>2.45</x:v>
      </x:c>
      <x:c r="P47" s="112" t="n">
        <x:v>2.7</x:v>
      </x:c>
      <x:c r="Q47" s="112" t="n">
        <x:v>2.95</x:v>
      </x:c>
      <x:c r="R47" s="112" t="n">
        <x:v>3.2</x:v>
      </x:c>
    </x:row>
    <x:row r="48">
      <x:c r="A48" s="131" t="n">
        <x:v>2</x:v>
      </x:c>
      <x:c r="B48" s="132" t="n">
        <x:v>-0.7324875821301191</x:v>
      </x:c>
      <x:c r="C48" s="132" t="n">
        <x:v>0.7954263775791617</x:v>
      </x:c>
      <x:c r="D48" s="132" t="n">
        <x:v>-0.27877577042104207</x:v>
      </x:c>
      <x:c r="E48" s="132" t="n">
        <x:v>-0.867719897097885</x:v>
      </x:c>
      <x:c r="F48" s="132" t="n">
        <x:v>-0.4859237811373802</x:v>
      </x:c>
      <x:c r="G48" s="132" t="n">
        <x:v>1.6517943365033787</x:v>
      </x:c>
      <x:c r="H48" s="132" t="n">
        <x:v>-1.7679006773360086</x:v>
      </x:c>
      <x:c r="I48" s="132" t="n">
        <x:v>2.0446182392101306</x:v>
      </x:c>
      <x:c r="J48" s="132" t="n">
        <x:v>2.5828577464319267</x:v>
      </x:c>
      <x:c r="K48" s="132" t="n">
        <x:v>0.14461823921012495</x:v>
      </x:c>
      <x:c r="L48" s="132" t="n">
        <x:v>0.5320993226639885</x:v>
      </x:c>
      <x:c r="M48" s="132" t="n">
        <x:v>-2.3482056634966213</x:v>
      </x:c>
      <x:c r="N48" s="132" t="n">
        <x:v>4.314076218862617</x:v>
      </x:c>
      <x:c r="O48" s="132" t="n">
        <x:v>1.9322801029021122</x:v>
      </x:c>
      <x:c r="P48" s="132" t="n">
        <x:v>0.5212242295789551</x:v>
      </x:c>
      <x:c r="Q48" s="132" t="n">
        <x:v>0.2954263775791617</x:v>
      </x:c>
      <x:c r="R48" s="132" t="n">
        <x:v>1.067512417869878</x:v>
      </x:c>
    </x:row>
    <x:row r="49">
      <x:c r="A49" s="131" t="n">
        <x:v>1.75</x:v>
      </x:c>
      <x:c r="B49" s="132" t="n">
        <x:v>2.6759956786779355</x:v>
      </x:c>
      <x:c r="C49" s="132" t="n">
        <x:v>1.1831271187496526</x:v>
      </x:c>
      <x:c r="D49" s="132" t="n">
        <x:v>-0.004437681950726358</x:v>
      </x:c>
      <x:c r="E49" s="132" t="n">
        <x:v>0.19590100343243222</x:v>
      </x:c>
      <x:c r="F49" s="132" t="n">
        <x:v>-2.336865256502797</x:v>
      </x:c>
      <x:c r="G49" s="132" t="n">
        <x:v>-3.724558765915745</x:v>
      </x:c>
      <x:c r="H49" s="132" t="n">
        <x:v>-1.2866547211168324</x:v>
      </x:c>
      <x:c r="I49" s="132" t="n">
        <x:v>0.06207409258364294</x:v>
      </x:c>
      <x:c r="J49" s="132" t="n">
        <x:v>1.0126453072217032</x:v>
      </x:c>
      <x:c r="K49" s="132" t="n">
        <x:v>-3.237925907416354</x:v>
      </x:c>
      <x:c r="L49" s="132" t="n">
        <x:v>-3.086654721116833</x:v>
      </x:c>
      <x:c r="M49" s="132" t="n">
        <x:v>0.07544123408425918</x:v>
      </x:c>
      <x:c r="N49" s="132" t="n">
        <x:v>-2.636865256502798</x:v>
      </x:c>
      <x:c r="O49" s="132" t="n">
        <x:v>1.2959010034324336</x:v>
      </x:c>
      <x:c r="P49" s="132" t="n">
        <x:v>3.795562318049271</x:v>
      </x:c>
      <x:c r="Q49" s="132" t="n">
        <x:v>1.3831271187496554</x:v>
      </x:c>
      <x:c r="R49" s="132" t="n">
        <x:v>-2.1240043213220687</x:v>
      </x:c>
    </x:row>
    <x:row r="50">
      <x:c r="A50" s="131" t="n">
        <x:v>1.5</x:v>
      </x:c>
      <x:c r="B50" s="132" t="n">
        <x:v>1.12493852505483</x:v>
      </x:c>
      <x:c r="C50" s="132" t="n">
        <x:v>4.035835717517266</x:v>
      </x:c>
      <x:c r="D50" s="132" t="n">
        <x:v>4.666113823205194</x:v>
      </x:c>
      <x:c r="E50" s="132" t="n">
        <x:v>1.8913783000890092</x:v>
      </x:c>
      <x:c r="F50" s="132" t="n">
        <x:v>1.2800525922896568</x:v>
      </x:c>
      <x:c r="G50" s="132" t="n">
        <x:v>-1.7012667378033015</x:v>
      </x:c>
      <x:c r="H50" s="132" t="n">
        <x:v>-1.6816485504274183</x:v>
      </x:c>
      <x:c r="I50" s="132" t="n">
        <x:v>1.218036154942638</x:v>
      </x:c>
      <x:c r="J50" s="132" t="n">
        <x:v>-0.014135750763955457</x:v>
      </x:c>
      <x:c r="K50" s="132" t="n">
        <x:v>-2.081963845057359</x:v>
      </x:c>
      <x:c r="L50" s="132" t="n">
        <x:v>-0.18164855042741834</x:v>
      </x:c>
      <x:c r="M50" s="132" t="n">
        <x:v>0.5987332621967028</x:v>
      </x:c>
      <x:c r="N50" s="132" t="n">
        <x:v>1.580052592289661</x:v>
      </x:c>
      <x:c r="O50" s="132" t="n">
        <x:v>-0.20862169991099222</x:v>
      </x:c>
      <x:c r="P50" s="132" t="n">
        <x:v>-0.43388617679480745</x:v>
      </x:c>
      <x:c r="Q50" s="132" t="n">
        <x:v>-0.06416428248273576</x:v>
      </x:c>
      <x:c r="R50" s="132" t="n">
        <x:v>0.22493852505482437</x:v>
      </x:c>
    </x:row>
    <x:row r="51">
      <x:c r="A51" s="131" t="n">
        <x:v>1.25</x:v>
      </x:c>
      <x:c r="B51" s="132" t="n">
        <x:v>1.6124497255586476</x:v>
      </x:c>
      <x:c r="C51" s="132" t="n">
        <x:v>1.460448173045556</x:v>
      </x:c>
      <x:c r="D51" s="132" t="n">
        <x:v>-1.7453970416893583</x:v>
      </x:c>
      <x:c r="E51" s="132" t="n">
        <x:v>3.7602461371588873</x:v>
      </x:c>
      <x:c r="F51" s="132" t="n">
        <x:v>2.72730517850367</x:v>
      </x:c>
      <x:c r="G51" s="132" t="n">
        <x:v>2.801703424990464</x:v>
      </x:c>
      <x:c r="H51" s="132" t="n">
        <x:v>2.9389523592984617</x:v>
      </x:c>
      <x:c r="I51" s="132" t="n">
        <x:v>0.010596275392376953</x:v>
      </x:c>
      <x:c r="J51" s="132" t="n">
        <x:v>0.10249978838372087</x:v>
      </x:c>
      <x:c r="K51" s="132" t="n">
        <x:v>-1.3894037246076252</x:v>
      </x:c>
      <x:c r="L51" s="132" t="n">
        <x:v>-0.7610476407015341</x:v>
      </x:c>
      <x:c r="M51" s="132" t="n">
        <x:v>-0.698296575009536</x:v>
      </x:c>
      <x:c r="N51" s="132" t="n">
        <x:v>0.12730517850366851</x:v>
      </x:c>
      <x:c r="O51" s="132" t="n">
        <x:v>1.0602461371588916</x:v>
      </x:c>
      <x:c r="P51" s="132" t="n">
        <x:v>-0.4453970416893611</x:v>
      </x:c>
      <x:c r="Q51" s="132" t="n">
        <x:v>-0.4395518269544425</x:v>
      </x:c>
      <x:c r="R51" s="132" t="n">
        <x:v>-0.5875502744413552</x:v>
      </x:c>
    </x:row>
    <x:row r="52">
      <x:c r="A52" s="131" t="n">
        <x:v>1</x:v>
      </x:c>
      <x:c r="B52" s="132" t="n">
        <x:v>0.9294219291592327</x:v>
      </x:c>
      <x:c r="C52" s="132" t="n">
        <x:v>2.058971955451156</x:v>
      </x:c>
      <x:c r="D52" s="132" t="n">
        <x:v>-0.41327167924450237</x:v>
      </x:c>
      <x:c r="E52" s="132" t="n">
        <x:v>1.6638803205368902</x:v>
      </x:c>
      <x:c r="F52" s="132" t="n">
        <x:v>1.4047421813492527</x:v>
      </x:c>
      <x:c r="G52" s="132" t="n">
        <x:v>0.6140820711239634</x:v>
      </x:c>
      <x:c r="H52" s="132" t="n">
        <x:v>-0.2779306666817014</x:v>
      </x:c>
      <x:c r="I52" s="132" t="n">
        <x:v>0.994162644827</x:v>
      </x:c>
      <x:c r="J52" s="132" t="n">
        <x:v>1.7188991331036227</x:v>
      </x:c>
      <x:c r="K52" s="132" t="n">
        <x:v>-1.1058373551730014</x:v>
      </x:c>
      <x:c r="L52" s="132" t="n">
        <x:v>0.5220693333182993</x:v>
      </x:c>
      <x:c r="M52" s="132" t="n">
        <x:v>0.5140820711239655</x:v>
      </x:c>
      <x:c r="N52" s="132" t="n">
        <x:v>-0.5952578186507473</x:v>
      </x:c>
      <x:c r="O52" s="132" t="n">
        <x:v>-0.5361196794631091</x:v>
      </x:c>
      <x:c r="P52" s="132" t="n">
        <x:v>-2.0132716792445002</x:v>
      </x:c>
      <x:c r="Q52" s="132" t="n">
        <x:v>-1.3410280445488425</x:v>
      </x:c>
      <x:c r="R52" s="132" t="n">
        <x:v>-2.170578070840776</x:v>
      </x:c>
    </x:row>
    <x:row r="53">
      <x:c r="A53" s="131" t="n">
        <x:v>0.75</x:v>
      </x:c>
      <x:c r="B53" s="132" t="n">
        <x:v>0.6524823472572692</x:v>
      </x:c>
      <x:c r="C53" s="132" t="n">
        <x:v>0.41847513914881773</x:v>
      </x:c>
      <x:c r="D53" s="132" t="n">
        <x:v>0.9866290277436889</x:v>
      </x:c>
      <x:c r="E53" s="132" t="n">
        <x:v>0.5958479678717516</x:v>
      </x:c>
      <x:c r="F53" s="132" t="n">
        <x:v>0.4834046472352611</x:v>
      </x:c>
      <x:c r="G53" s="132" t="n">
        <x:v>0.35894758422792705</x:v>
      </x:c>
      <x:c r="H53" s="132" t="n">
        <x:v>0.7124937797454933</x:v>
      </x:c>
      <x:c r="I53" s="132" t="n">
        <x:v>-1.68105163790349</x:v>
      </x:c>
      <x:c r="J53" s="132" t="n">
        <x:v>-1.7141369088414287</x:v>
      </x:c>
      <x:c r="K53" s="132" t="n">
        <x:v>0.4189483620965113</x:v>
      </x:c>
      <x:c r="L53" s="132" t="n">
        <x:v>0.5124937797454905</x:v>
      </x:c>
      <x:c r="M53" s="132" t="n">
        <x:v>1.2589475842279256</x:v>
      </x:c>
      <x:c r="N53" s="132" t="n">
        <x:v>-0.416595352764741</x:v>
      </x:c>
      <x:c r="O53" s="132" t="n">
        <x:v>0.29584796787175094</x:v>
      </x:c>
      <x:c r="P53" s="132" t="n">
        <x:v>0.9866290277436889</x:v>
      </x:c>
      <x:c r="Q53" s="132" t="n">
        <x:v>-4.581524860851182</x:v>
      </x:c>
      <x:c r="R53" s="132" t="n">
        <x:v>-0.24751765274273652</x:v>
      </x:c>
    </x:row>
    <x:row r="54">
      <x:c r="A54" s="131" t="n">
        <x:v>0.5</x:v>
      </x:c>
      <x:c r="B54" s="132" t="n">
        <x:v>0.5330952610592661</x:v>
      </x:c>
      <x:c r="C54" s="132" t="n">
        <x:v>0.7862993882929104</x:v>
      </x:c>
      <x:c r="D54" s="132" t="n">
        <x:v>-1.1522801768277127</x:v>
      </x:c>
      <x:c r="E54" s="132" t="n">
        <x:v>1.7917653239005702</x:v>
      </x:c>
      <x:c r="F54" s="132" t="n">
        <x:v>-1.2303923566252557</x:v>
      </x:c>
      <x:c r="G54" s="132" t="n">
        <x:v>-2.2733963465606166</x:v>
      </x:c>
      <x:c r="H54" s="132" t="n">
        <x:v>1.6130921299026433</x:v>
      </x:c>
      <x:c r="I54" s="132" t="n">
        <x:v>-0.5191921895551879</x:v>
      </x:c>
      <x:c r="J54" s="132" t="n">
        <x:v>-0.004667726065481048</x:v>
      </x:c>
      <x:c r="K54" s="132" t="n">
        <x:v>2.1808078104448114</x:v>
      </x:c>
      <x:c r="L54" s="132" t="n">
        <x:v>1.5130921299026419</x:v>
      </x:c>
      <x:c r="M54" s="132" t="n">
        <x:v>0.7266036534393834</x:v>
      </x:c>
      <x:c r="N54" s="132" t="n">
        <x:v>1.3696076433747422</x:v>
      </x:c>
      <x:c r="O54" s="132" t="n">
        <x:v>-1.008234676099434</x:v>
      </x:c>
      <x:c r="P54" s="132" t="n">
        <x:v>1.247719823172286</x:v>
      </x:c>
      <x:c r="Q54" s="132" t="n">
        <x:v>1.8862993882929118</x:v>
      </x:c>
      <x:c r="R54" s="132" t="n">
        <x:v>1.3330952610592632</x:v>
      </x:c>
    </x:row>
    <x:row r="55">
      <x:c r="A55" s="131" t="n">
        <x:v>0.25</x:v>
      </x:c>
      <x:c r="B55" s="132" t="n">
        <x:v>2.1891719626774986</x:v>
      </x:c>
      <x:c r="C55" s="132" t="n">
        <x:v>-1.4774570990256706</x:v>
      </x:c>
      <x:c r="D55" s="132" t="n">
        <x:v>1.0061943999790088</x:v>
      </x:c>
      <x:c r="E55" s="132" t="n">
        <x:v>0.9075557565800452</x:v>
      </x:c>
      <x:c r="F55" s="132" t="n">
        <x:v>-1.0520001664763363</x:v>
      </x:c>
      <x:c r="G55" s="132" t="n">
        <x:v>2.547586882663289</x:v>
      </x:c>
      <x:c r="H55" s="132" t="n">
        <x:v>-0.9003775384084634</x:v>
      </x:c>
      <x:c r="I55" s="132" t="n">
        <x:v>0.5168202572493321</x:v>
      </x:c>
      <x:c r="J55" s="132" t="n">
        <x:v>2.3723247393221776</x:v>
      </x:c>
      <x:c r="K55" s="132" t="n">
        <x:v>0.5168202572493321</x:v>
      </x:c>
      <x:c r="L55" s="132" t="n">
        <x:v>0.5996224615915366</x:v>
      </x:c>
      <x:c r="M55" s="132" t="n">
        <x:v>0.4475868826632876</x:v>
      </x:c>
      <x:c r="N55" s="132" t="n">
        <x:v>-2.5520001664763434</x:v>
      </x:c>
      <x:c r="O55" s="132" t="n">
        <x:v>-0.5924442434199584</x:v>
      </x:c>
      <x:c r="P55" s="132" t="n">
        <x:v>-2.0938056000209926</x:v>
      </x:c>
      <x:c r="Q55" s="132" t="n">
        <x:v>1.3225429009743266</x:v>
      </x:c>
      <x:c r="R55" s="132" t="n">
        <x:v>-1.4108280373225064</x:v>
      </x:c>
    </x:row>
    <x:row r="56">
      <x:c r="A56" s="131" t="n">
        <x:v>0</x:v>
      </x:c>
      <x:c r="B56" s="132" t="n">
        <x:v>1.7236712650490418</x:v>
      </x:c>
      <x:c r="C56" s="132" t="n">
        <x:v>3.1847106184553766</x:v>
      </x:c>
      <x:c r="D56" s="132" t="n">
        <x:v>-1.1690280397682073</x:v>
      </x:c>
      <x:c r="E56" s="132" t="n">
        <x:v>-2.77936144071014</x:v>
      </x:c>
      <x:c r="F56" s="132" t="n">
        <x:v>1.580156278973405</x:v>
      </x:c>
      <x:c r="G56" s="132" t="n">
        <x:v>-0.946965469807898</x:v>
      </x:c>
      <x:c r="H56" s="132" t="n">
        <x:v>0.18764134034115543</x:v>
      </x:c>
      <x:c r="I56" s="132" t="n">
        <x:v>0.2693619483983909</x:v>
      </x:c>
      <x:c r="J56" s="132" t="n">
        <x:v>-0.5584039528283551</x:v>
      </x:c>
      <x:c r="K56" s="132" t="n">
        <x:v>1.0693619483983916</x:v>
      </x:c>
      <x:c r="L56" s="132" t="n">
        <x:v>1.1876413403411554</x:v>
      </x:c>
      <x:c r="M56" s="132" t="n">
        <x:v>0.4530345301921024</x:v>
      </x:c>
      <x:c r="N56" s="132" t="n">
        <x:v>0.08015627897340138</x:v>
      </x:c>
      <x:c r="O56" s="132" t="n">
        <x:v>0.3206385592898542</x:v>
      </x:c>
      <x:c r="P56" s="132" t="n">
        <x:v>-1.4690280397682045</x:v>
      </x:c>
      <x:c r="Q56" s="132" t="n">
        <x:v>-0.3152893815446234</x:v>
      </x:c>
      <x:c r="R56" s="132" t="n">
        <x:v>-0.07632873495096248</x:v>
      </x:c>
    </x:row>
    <x:row r="57">
      <x:c r="A57" s="131" t="n">
        <x:v>-0.25</x:v>
      </x:c>
      <x:c r="B57" s="132" t="n">
        <x:v>3.8891719626775014</x:v>
      </x:c>
      <x:c r="C57" s="132" t="n">
        <x:v>-0.3774570990256727</x:v>
      </x:c>
      <x:c r="D57" s="132" t="n">
        <x:v>-1.7938056000209919</x:v>
      </x:c>
      <x:c r="E57" s="132" t="n">
        <x:v>1.4075557565800452</x:v>
      </x:c>
      <x:c r="F57" s="132" t="n">
        <x:v>-0.9520001664763384</x:v>
      </x:c>
      <x:c r="G57" s="132" t="n">
        <x:v>-1.7524131173367117</x:v>
      </x:c>
      <x:c r="H57" s="132" t="n">
        <x:v>-0.7003775384084641</x:v>
      </x:c>
      <x:c r="I57" s="132" t="n">
        <x:v>0.016820257249332116</x:v>
      </x:c>
      <x:c r="J57" s="132" t="n">
        <x:v>1.5723247393221769</x:v>
      </x:c>
      <x:c r="K57" s="132" t="n">
        <x:v>0.41682025724933425</x:v>
      </x:c>
      <x:c r="L57" s="132" t="n">
        <x:v>1.4996224615915352</x:v>
      </x:c>
      <x:c r="M57" s="132" t="n">
        <x:v>0.9475868826632876</x:v>
      </x:c>
      <x:c r="N57" s="132" t="n">
        <x:v>1.4479998335236566</x:v>
      </x:c>
      <x:c r="O57" s="132" t="n">
        <x:v>-0.49244424341995696</x:v>
      </x:c>
      <x:c r="P57" s="132" t="n">
        <x:v>-0.193805600020994</x:v>
      </x:c>
      <x:c r="Q57" s="132" t="n">
        <x:v>2.222542900974325</x:v>
      </x:c>
      <x:c r="R57" s="132" t="n">
        <x:v>1.289171962677493</x:v>
      </x:c>
    </x:row>
    <x:row r="58">
      <x:c r="A58" s="131" t="n">
        <x:v>-0.5</x:v>
      </x:c>
      <x:c r="B58" s="132" t="n">
        <x:v>1.9330952610592647</x:v>
      </x:c>
      <x:c r="C58" s="132" t="n">
        <x:v>-0.21370061170708965</x:v>
      </x:c>
      <x:c r="D58" s="132" t="n">
        <x:v>2.447719823172285</x:v>
      </x:c>
      <x:c r="E58" s="132" t="n">
        <x:v>0.5917653239005674</x:v>
      </x:c>
      <x:c r="F58" s="132" t="n">
        <x:v>0.2696076433747443</x:v>
      </x:c>
      <x:c r="G58" s="132" t="n">
        <x:v>0.9266036534393827</x:v>
      </x:c>
      <x:c r="H58" s="132" t="n">
        <x:v>0.8130921299026426</x:v>
      </x:c>
      <x:c r="I58" s="132" t="n">
        <x:v>1.5808078104448136</x:v>
      </x:c>
      <x:c r="J58" s="132" t="n">
        <x:v>-0.6046677260654825</x:v>
      </x:c>
      <x:c r="K58" s="132" t="n">
        <x:v>-2.219192189555187</x:v>
      </x:c>
      <x:c r="L58" s="132" t="n">
        <x:v>0.413092129902644</x:v>
      </x:c>
      <x:c r="M58" s="132" t="n">
        <x:v>-0.37339634656061804</x:v>
      </x:c>
      <x:c r="N58" s="132" t="n">
        <x:v>0.06960764337474146</x:v>
      </x:c>
      <x:c r="O58" s="132" t="n">
        <x:v>2.7917653239005666</x:v>
      </x:c>
      <x:c r="P58" s="132" t="n">
        <x:v>-1.252280176827714</x:v>
      </x:c>
      <x:c r="Q58" s="132" t="n">
        <x:v>1.686299388292909</x:v>
      </x:c>
      <x:c r="R58" s="132" t="n">
        <x:v>2.1330952610592675</x:v>
      </x:c>
    </x:row>
    <x:row r="59">
      <x:c r="A59" s="131" t="n">
        <x:v>-0.75</x:v>
      </x:c>
      <x:c r="B59" s="132" t="n">
        <x:v>0.2524823472572635</x:v>
      </x:c>
      <x:c r="C59" s="132" t="n">
        <x:v>-2.981524860851181</x:v>
      </x:c>
      <x:c r="D59" s="132" t="n">
        <x:v>-1.4133709722563133</x:v>
      </x:c>
      <x:c r="E59" s="132" t="n">
        <x:v>-1.4041520321282484</x:v>
      </x:c>
      <x:c r="F59" s="132" t="n">
        <x:v>0.5834046472352625</x:v>
      </x:c>
      <x:c r="G59" s="132" t="n">
        <x:v>-0.3410524157720758</x:v>
      </x:c>
      <x:c r="H59" s="132" t="n">
        <x:v>2.9124937797454926</x:v>
      </x:c>
      <x:c r="I59" s="132" t="n">
        <x:v>0.3189483620965099</x:v>
      </x:c>
      <x:c r="J59" s="132" t="n">
        <x:v>-1.6141369088414272</x:v>
      </x:c>
      <x:c r="K59" s="132" t="n">
        <x:v>-2.281051637903488</x:v>
      </x:c>
      <x:c r="L59" s="132" t="n">
        <x:v>-2.5875062202545074</x:v>
      </x:c>
      <x:c r="M59" s="132" t="n">
        <x:v>0.858947584227927</x:v>
      </x:c>
      <x:c r="N59" s="132" t="n">
        <x:v>1.083404647235259</x:v>
      </x:c>
      <x:c r="O59" s="132" t="n">
        <x:v>-1.3041520321282505</x:v>
      </x:c>
      <x:c r="P59" s="132" t="n">
        <x:v>-0.3133709722563154</x:v>
      </x:c>
      <x:c r="Q59" s="132" t="n">
        <x:v>-1.0815248608511823</x:v>
      </x:c>
      <x:c r="R59" s="132" t="n">
        <x:v>-2.147517652742735</x:v>
      </x:c>
    </x:row>
    <x:row r="60">
      <x:c r="A60" s="131" t="n">
        <x:v>-1</x:v>
      </x:c>
      <x:c r="B60" s="132" t="n">
        <x:v>-2.1705780708407687</x:v>
      </x:c>
      <x:c r="C60" s="132" t="n">
        <x:v>0.1589719554511575</x:v>
      </x:c>
      <x:c r="D60" s="132" t="n">
        <x:v>-3.0132716792445002</x:v>
      </x:c>
      <x:c r="E60" s="132" t="n">
        <x:v>-1.2361196794631084</x:v>
      </x:c>
      <x:c r="F60" s="132" t="n">
        <x:v>3.404742181349249</x:v>
      </x:c>
      <x:c r="G60" s="132" t="n">
        <x:v>-0.9859179288760345</x:v>
      </x:c>
      <x:c r="H60" s="132" t="n">
        <x:v>1.5220693333182993</x:v>
      </x:c>
      <x:c r="I60" s="132" t="n">
        <x:v>0.5941626448269979</x:v>
      </x:c>
      <x:c r="J60" s="132" t="n">
        <x:v>-0.28110086689637725</x:v>
      </x:c>
      <x:c r="K60" s="132" t="n">
        <x:v>-1.005837355173</x:v>
      </x:c>
      <x:c r="L60" s="132" t="n">
        <x:v>1.8220693333183</x:v>
      </x:c>
      <x:c r="M60" s="132" t="n">
        <x:v>-0.2859179288760352</x:v>
      </x:c>
      <x:c r="N60" s="132" t="n">
        <x:v>2.304742181349255</x:v>
      </x:c>
      <x:c r="O60" s="132" t="n">
        <x:v>-1.2361196794631084</x:v>
      </x:c>
      <x:c r="P60" s="132" t="n">
        <x:v>0.08672832075549763</x:v>
      </x:c>
      <x:c r="Q60" s="132" t="n">
        <x:v>0.7589719554511589</x:v>
      </x:c>
      <x:c r="R60" s="132" t="n">
        <x:v>0.6294219291592285</x:v>
      </x:c>
    </x:row>
    <x:row r="61">
      <x:c r="A61" s="131" t="n">
        <x:v>-1.25</x:v>
      </x:c>
      <x:c r="B61" s="132" t="n">
        <x:v>0.4124497255586448</x:v>
      </x:c>
      <x:c r="C61" s="132" t="n">
        <x:v>-1.1395518269544453</x:v>
      </x:c>
      <x:c r="D61" s="132" t="n">
        <x:v>2.1546029583106403</x:v>
      </x:c>
      <x:c r="E61" s="132" t="n">
        <x:v>-1.5397538628411098</x:v>
      </x:c>
      <x:c r="F61" s="132" t="n">
        <x:v>-2.3726948214963315</x:v>
      </x:c>
      <x:c r="G61" s="132" t="n">
        <x:v>-1.5982965750095381</x:v>
      </x:c>
      <x:c r="H61" s="132" t="n">
        <x:v>-1.5610476407015348</x:v>
      </x:c>
      <x:c r="I61" s="132" t="n">
        <x:v>-1.5894037246076245</x:v>
      </x:c>
      <x:c r="J61" s="132" t="n">
        <x:v>-0.8975002116162791</x:v>
      </x:c>
      <x:c r="K61" s="132" t="n">
        <x:v>2.010596275392377</x:v>
      </x:c>
      <x:c r="L61" s="132" t="n">
        <x:v>0.4389523592984652</x:v>
      </x:c>
      <x:c r="M61" s="132" t="n">
        <x:v>-0.39829657500953886</x:v>
      </x:c>
      <x:c r="N61" s="132" t="n">
        <x:v>0.027305178503667094</x:v>
      </x:c>
      <x:c r="O61" s="132" t="n">
        <x:v>-0.6397538628411112</x:v>
      </x:c>
      <x:c r="P61" s="132" t="n">
        <x:v>1.7546029583106417</x:v>
      </x:c>
      <x:c r="Q61" s="132" t="n">
        <x:v>-1.039551826954444</x:v>
      </x:c>
      <x:c r="R61" s="132" t="n">
        <x:v>1.6124497255586476</x:v>
      </x:c>
    </x:row>
    <x:row r="62">
      <x:c r="A62" s="131" t="n">
        <x:v>-1.5</x:v>
      </x:c>
      <x:c r="B62" s="132" t="n">
        <x:v>-1.0750614749451728</x:v>
      </x:c>
      <x:c r="C62" s="132" t="n">
        <x:v>1.635835717517267</x:v>
      </x:c>
      <x:c r="D62" s="132" t="n">
        <x:v>-0.43388617679480745</x:v>
      </x:c>
      <x:c r="E62" s="132" t="n">
        <x:v>-0.40862169991098796</x:v>
      </x:c>
      <x:c r="F62" s="132" t="n">
        <x:v>1.2800525922896568</x:v>
      </x:c>
      <x:c r="G62" s="132" t="n">
        <x:v>1.7987332621966985</x:v>
      </x:c>
      <x:c r="H62" s="132" t="n">
        <x:v>0.7183514495725802</x:v>
      </x:c>
      <x:c r="I62" s="132" t="n">
        <x:v>-0.6819638450573606</x:v>
      </x:c>
      <x:c r="J62" s="132" t="n">
        <x:v>-1.0141357507639555</x:v>
      </x:c>
      <x:c r="K62" s="132" t="n">
        <x:v>2.718036154942638</x:v>
      </x:c>
      <x:c r="L62" s="132" t="n">
        <x:v>1.2183514495725802</x:v>
      </x:c>
      <x:c r="M62" s="132" t="n">
        <x:v>1.4987332621967013</x:v>
      </x:c>
      <x:c r="N62" s="132" t="n">
        <x:v>3.9800525922896597</x:v>
      </x:c>
      <x:c r="O62" s="132" t="n">
        <x:v>-1.2086216999109922</x:v>
      </x:c>
      <x:c r="P62" s="132" t="n">
        <x:v>4.666113823205194</x:v>
      </x:c>
      <x:c r="Q62" s="132" t="n">
        <x:v>4.935835717517264</x:v>
      </x:c>
      <x:c r="R62" s="132" t="n">
        <x:v>3.12493852505483</x:v>
      </x:c>
    </x:row>
    <x:row r="63">
      <x:c r="A63" s="131" t="n">
        <x:v>-1.75</x:v>
      </x:c>
      <x:c r="B63" s="132" t="n">
        <x:v>2.575995678677934</x:v>
      </x:c>
      <x:c r="C63" s="132" t="n">
        <x:v>1.9831271187496569</x:v>
      </x:c>
      <x:c r="D63" s="132" t="n">
        <x:v>2.895562318049272</x:v>
      </x:c>
      <x:c r="E63" s="132" t="n">
        <x:v>-1.5040989965675706</x:v>
      </x:c>
      <x:c r="F63" s="132" t="n">
        <x:v>0.8631347434971985</x:v>
      </x:c>
      <x:c r="G63" s="132" t="n">
        <x:v>-1.6245587659157437</x:v>
      </x:c>
      <x:c r="H63" s="132" t="n">
        <x:v>2.813345278883169</x:v>
      </x:c>
      <x:c r="I63" s="132" t="n">
        <x:v>-0.7379259074163542</x:v>
      </x:c>
      <x:c r="J63" s="132" t="n">
        <x:v>3.6126453072216975</x:v>
      </x:c>
      <x:c r="K63" s="132" t="n">
        <x:v>1.6620740925836444</x:v>
      </x:c>
      <x:c r="L63" s="132" t="n">
        <x:v>0.313345278883169</x:v>
      </x:c>
      <x:c r="M63" s="132" t="n">
        <x:v>0.1754412340842535</x:v>
      </x:c>
      <x:c r="N63" s="132" t="n">
        <x:v>1.6631347434972028</x:v>
      </x:c>
      <x:c r="O63" s="132" t="n">
        <x:v>-0.3040989965675678</x:v>
      </x:c>
      <x:c r="P63" s="132" t="n">
        <x:v>-1.904437681950732</x:v>
      </x:c>
      <x:c r="Q63" s="132" t="n">
        <x:v>0.283127118749654</x:v>
      </x:c>
      <x:c r="R63" s="132" t="n">
        <x:v>1.4759956786779327</x:v>
      </x:c>
    </x:row>
    <x:row r="64">
      <x:c r="A64" s="131" t="n">
        <x:v>-2</x:v>
      </x:c>
      <x:c r="B64" s="132" t="n">
        <x:v>-1.232487582130119</x:v>
      </x:c>
      <x:c r="C64" s="132" t="n">
        <x:v>0.6954263775791603</x:v>
      </x:c>
      <x:c r="D64" s="132" t="n">
        <x:v>-3.1787757704210406</x:v>
      </x:c>
      <x:c r="E64" s="132" t="n">
        <x:v>2.7322801029021164</x:v>
      </x:c>
      <x:c r="F64" s="132" t="n">
        <x:v>1.4140762188626184</x:v>
      </x:c>
      <x:c r="G64" s="132" t="n">
        <x:v>-0.14820566349662556</x:v>
      </x:c>
      <x:c r="H64" s="132" t="n">
        <x:v>-0.16790067733600722</x:v>
      </x:c>
      <x:c r="I64" s="132" t="n">
        <x:v>0.8446182392101278</x:v>
      </x:c>
      <x:c r="J64" s="132" t="n">
        <x:v>-0.11714225356807617</x:v>
      </x:c>
      <x:c r="K64" s="132" t="n">
        <x:v>0.04461823921013064</x:v>
      </x:c>
      <x:c r="L64" s="132" t="n">
        <x:v>1.63209932266399</x:v>
      </x:c>
      <x:c r="M64" s="132" t="n">
        <x:v>1.3517943365033744</x:v>
      </x:c>
      <x:c r="N64" s="132" t="n">
        <x:v>0.31407621886261694</x:v>
      </x:c>
      <x:c r="O64" s="132" t="n">
        <x:v>0.33228010290211074</x:v>
      </x:c>
      <x:c r="P64" s="132" t="n">
        <x:v>0.8212242295789594</x:v>
      </x:c>
      <x:c r="Q64" s="132" t="n">
        <x:v>-0.6045736224208369</x:v>
      </x:c>
      <x:c r="R64" s="132" t="n">
        <x:v>-0.2324875821301191</x:v>
      </x:c>
    </x:row>
  </x:sheetData>
  <x:mergeCells>
    <x:mergeCell ref="A1:R1"/>
    <x:mergeCell ref="A23:R23"/>
    <x:mergeCell ref="A45:R45"/>
  </x:mergeCells>
  <x:conditionalFormatting sqref="B4:R20">
    <x:cfRule type="colorScale" priority="1">
      <x:colorScale>
        <x:cfvo type="min"/>
        <x:cfvo type="percentile" val="50"/>
        <x:cfvo type="max"/>
        <x:color rgb="FF2F75B5"/>
        <x:color rgb="FFFFF2CC"/>
        <x:color rgb="FFC6E0B4"/>
      </x:colorScale>
    </x:cfRule>
  </x:conditionalFormatting>
  <x:conditionalFormatting sqref="B26:R42">
    <x:cfRule type="colorScale" priority="2">
      <x:colorScale>
        <x:cfvo type="min"/>
        <x:cfvo type="percentile" val="50"/>
        <x:cfvo type="max"/>
        <x:color rgb="FF2F75B5"/>
        <x:color rgb="FFFFF2CC"/>
        <x:color rgb="FFC6E0B4"/>
      </x:colorScale>
    </x:cfRule>
  </x:conditionalFormatting>
  <x:conditionalFormatting sqref="B48:R64">
    <x:cfRule type="colorScale" priority="3">
      <x:colorScale>
        <x:cfvo type="min"/>
        <x:cfvo type="num" val="0"/>
        <x:cfvo type="max"/>
        <x:color rgb="FF5B9BD5"/>
        <x:color rgb="FFFFFFFF"/>
        <x:color rgb="FFF8696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4" hidden="0" customWidth="1"/>
    <x:col min="3" max="3" width="14" hidden="0" customWidth="1"/>
    <x:col min="4" max="4" width="22" hidden="0" customWidth="1"/>
    <x:col min="5" max="5" width="10" hidden="0" customWidth="1"/>
    <x:col min="6" max="6" width="10" hidden="0" customWidth="1"/>
    <x:col min="7" max="7" width="18" hidden="0" customWidth="1"/>
  </x:cols>
  <x:sheetData>
    <x:row r="1">
      <x:c r="A1" s="103" t="str">
        <x:v>DADOS BRUTOS REAIS — d = 0,30 m — ORDEM DE AQUISIÇÃO</x:v>
      </x:c>
      <x:c r="B1" s="103"/>
      <x:c r="C1" s="103"/>
      <x:c r="D1" s="103"/>
      <x:c r="E1" s="103"/>
      <x:c r="F1" s="103"/>
      <x:c r="G1" s="103"/>
    </x:row>
    <x:row r="2">
      <x:c r="A2" s="133" t="str">
        <x:v>R_ref = 41,6 Ω; uma leitura por ponto; nenhuma suavização, interpolação, exclusão ou correção aplicada.</x:v>
      </x:c>
      <x:c r="B2" s="133"/>
      <x:c r="C2" s="133"/>
      <x:c r="D2" s="133"/>
      <x:c r="E2" s="133"/>
      <x:c r="F2" s="133"/>
      <x:c r="G2" s="133"/>
    </x:row>
    <x:row r="4">
      <x:c r="A4" s="112" t="str">
        <x:v>Sequência</x:v>
      </x:c>
      <x:c r="B4" s="112" t="str">
        <x:v>Linha</x:v>
      </x:c>
      <x:c r="C4" s="112" t="str">
        <x:v>Posição na linha</x:v>
      </x:c>
      <x:c r="D4" s="112" t="str">
        <x:v>Sentido</x:v>
      </x:c>
      <x:c r="E4" s="112" t="str">
        <x:v>x (m)</x:v>
      </x:c>
      <x:c r="F4" s="112" t="str">
        <x:v>y (m)</x:v>
      </x:c>
      <x:c r="G4" s="112" t="str">
        <x:v>R_MTR bruto (Ω)</x:v>
      </x:c>
    </x:row>
    <x:row r="5">
      <x:c r="A5" s="40" t="n">
        <x:v>1</x:v>
      </x:c>
      <x:c r="B5" s="40" t="n">
        <x:v>1</x:v>
      </x:c>
      <x:c r="C5" s="40" t="n">
        <x:v>1</x:v>
      </x:c>
      <x:c r="D5" s="36" t="str">
        <x:v>esquerda → direita</x:v>
      </x:c>
      <x:c r="E5" s="41" t="n">
        <x:v>-0.8</x:v>
      </x:c>
      <x:c r="F5" s="41" t="n">
        <x:v>-2</x:v>
      </x:c>
      <x:c r="G5" s="134" t="n">
        <x:v>34.7</x:v>
      </x:c>
    </x:row>
    <x:row r="6">
      <x:c r="A6" s="40" t="n">
        <x:v>2</x:v>
      </x:c>
      <x:c r="B6" s="40" t="n">
        <x:v>1</x:v>
      </x:c>
      <x:c r="C6" s="40" t="n">
        <x:v>2</x:v>
      </x:c>
      <x:c r="D6" s="36" t="str">
        <x:v>esquerda → direita</x:v>
      </x:c>
      <x:c r="E6" s="41" t="n">
        <x:v>-0.55</x:v>
      </x:c>
      <x:c r="F6" s="41" t="n">
        <x:v>-2</x:v>
      </x:c>
      <x:c r="G6" s="134" t="n">
        <x:v>36.3</x:v>
      </x:c>
    </x:row>
    <x:row r="7">
      <x:c r="A7" s="40" t="n">
        <x:v>3</x:v>
      </x:c>
      <x:c r="B7" s="40" t="n">
        <x:v>1</x:v>
      </x:c>
      <x:c r="C7" s="40" t="n">
        <x:v>3</x:v>
      </x:c>
      <x:c r="D7" s="36" t="str">
        <x:v>esquerda → direita</x:v>
      </x:c>
      <x:c r="E7" s="41" t="n">
        <x:v>-0.30000000000000004</x:v>
      </x:c>
      <x:c r="F7" s="41" t="n">
        <x:v>-2</x:v>
      </x:c>
      <x:c r="G7" s="134" t="n">
        <x:v>32.1</x:v>
      </x:c>
    </x:row>
    <x:row r="8">
      <x:c r="A8" s="40" t="n">
        <x:v>4</x:v>
      </x:c>
      <x:c r="B8" s="40" t="n">
        <x:v>1</x:v>
      </x:c>
      <x:c r="C8" s="40" t="n">
        <x:v>4</x:v>
      </x:c>
      <x:c r="D8" s="36" t="str">
        <x:v>esquerda → direita</x:v>
      </x:c>
      <x:c r="E8" s="41" t="n">
        <x:v>-0.050000000000000044</x:v>
      </x:c>
      <x:c r="F8" s="41" t="n">
        <x:v>-2</x:v>
      </x:c>
      <x:c r="G8" s="134" t="n">
        <x:v>37.7</x:v>
      </x:c>
    </x:row>
    <x:row r="9">
      <x:c r="A9" s="40" t="n">
        <x:v>5</x:v>
      </x:c>
      <x:c r="B9" s="40" t="n">
        <x:v>1</x:v>
      </x:c>
      <x:c r="C9" s="40" t="n">
        <x:v>5</x:v>
      </x:c>
      <x:c r="D9" s="36" t="str">
        <x:v>esquerda → direita</x:v>
      </x:c>
      <x:c r="E9" s="41" t="n">
        <x:v>0.19999999999999996</x:v>
      </x:c>
      <x:c r="F9" s="41" t="n">
        <x:v>-2</x:v>
      </x:c>
      <x:c r="G9" s="134" t="n">
        <x:v>36.1</x:v>
      </x:c>
    </x:row>
    <x:row r="10">
      <x:c r="A10" s="40" t="n">
        <x:v>6</x:v>
      </x:c>
      <x:c r="B10" s="40" t="n">
        <x:v>1</x:v>
      </x:c>
      <x:c r="C10" s="40" t="n">
        <x:v>6</x:v>
      </x:c>
      <x:c r="D10" s="36" t="str">
        <x:v>esquerda → direita</x:v>
      </x:c>
      <x:c r="E10" s="41" t="n">
        <x:v>0.44999999999999996</x:v>
      </x:c>
      <x:c r="F10" s="41" t="n">
        <x:v>-2</x:v>
      </x:c>
      <x:c r="G10" s="134" t="n">
        <x:v>34.3</x:v>
      </x:c>
    </x:row>
    <x:row r="11">
      <x:c r="A11" s="40" t="n">
        <x:v>7</x:v>
      </x:c>
      <x:c r="B11" s="40" t="n">
        <x:v>1</x:v>
      </x:c>
      <x:c r="C11" s="40" t="n">
        <x:v>7</x:v>
      </x:c>
      <x:c r="D11" s="36" t="str">
        <x:v>esquerda → direita</x:v>
      </x:c>
      <x:c r="E11" s="41" t="n">
        <x:v>0.7</x:v>
      </x:c>
      <x:c r="F11" s="41" t="n">
        <x:v>-2</x:v>
      </x:c>
      <x:c r="G11" s="134" t="n">
        <x:v>34.1</x:v>
      </x:c>
    </x:row>
    <x:row r="12">
      <x:c r="A12" s="40" t="n">
        <x:v>8</x:v>
      </x:c>
      <x:c r="B12" s="40" t="n">
        <x:v>1</x:v>
      </x:c>
      <x:c r="C12" s="40" t="n">
        <x:v>8</x:v>
      </x:c>
      <x:c r="D12" s="36" t="str">
        <x:v>esquerda → direita</x:v>
      </x:c>
      <x:c r="E12" s="41" t="n">
        <x:v>0.95</x:v>
      </x:c>
      <x:c r="F12" s="41" t="n">
        <x:v>-2</x:v>
      </x:c>
      <x:c r="G12" s="134" t="n">
        <x:v>35</x:v>
      </x:c>
    </x:row>
    <x:row r="13">
      <x:c r="A13" s="40" t="n">
        <x:v>9</x:v>
      </x:c>
      <x:c r="B13" s="40" t="n">
        <x:v>1</x:v>
      </x:c>
      <x:c r="C13" s="40" t="n">
        <x:v>9</x:v>
      </x:c>
      <x:c r="D13" s="36" t="str">
        <x:v>esquerda → direita</x:v>
      </x:c>
      <x:c r="E13" s="41" t="n">
        <x:v>1.2</x:v>
      </x:c>
      <x:c r="F13" s="41" t="n">
        <x:v>-2</x:v>
      </x:c>
      <x:c r="G13" s="134" t="n">
        <x:v>34</x:v>
      </x:c>
    </x:row>
    <x:row r="14">
      <x:c r="A14" s="40" t="n">
        <x:v>10</x:v>
      </x:c>
      <x:c r="B14" s="40" t="n">
        <x:v>1</x:v>
      </x:c>
      <x:c r="C14" s="40" t="n">
        <x:v>10</x:v>
      </x:c>
      <x:c r="D14" s="36" t="str">
        <x:v>esquerda → direita</x:v>
      </x:c>
      <x:c r="E14" s="41" t="n">
        <x:v>1.45</x:v>
      </x:c>
      <x:c r="F14" s="41" t="n">
        <x:v>-2</x:v>
      </x:c>
      <x:c r="G14" s="134" t="n">
        <x:v>34.2</x:v>
      </x:c>
    </x:row>
    <x:row r="15">
      <x:c r="A15" s="40" t="n">
        <x:v>11</x:v>
      </x:c>
      <x:c r="B15" s="40" t="n">
        <x:v>1</x:v>
      </x:c>
      <x:c r="C15" s="40" t="n">
        <x:v>11</x:v>
      </x:c>
      <x:c r="D15" s="36" t="str">
        <x:v>esquerda → direita</x:v>
      </x:c>
      <x:c r="E15" s="41" t="n">
        <x:v>1.7</x:v>
      </x:c>
      <x:c r="F15" s="41" t="n">
        <x:v>-2</x:v>
      </x:c>
      <x:c r="G15" s="134" t="n">
        <x:v>35.9</x:v>
      </x:c>
    </x:row>
    <x:row r="16">
      <x:c r="A16" s="40" t="n">
        <x:v>12</x:v>
      </x:c>
      <x:c r="B16" s="40" t="n">
        <x:v>1</x:v>
      </x:c>
      <x:c r="C16" s="40" t="n">
        <x:v>12</x:v>
      </x:c>
      <x:c r="D16" s="36" t="str">
        <x:v>esquerda → direita</x:v>
      </x:c>
      <x:c r="E16" s="41" t="n">
        <x:v>1.95</x:v>
      </x:c>
      <x:c r="F16" s="41" t="n">
        <x:v>-2</x:v>
      </x:c>
      <x:c r="G16" s="134" t="n">
        <x:v>35.8</x:v>
      </x:c>
    </x:row>
    <x:row r="17">
      <x:c r="A17" s="40" t="n">
        <x:v>13</x:v>
      </x:c>
      <x:c r="B17" s="40" t="n">
        <x:v>1</x:v>
      </x:c>
      <x:c r="C17" s="40" t="n">
        <x:v>13</x:v>
      </x:c>
      <x:c r="D17" s="36" t="str">
        <x:v>esquerda → direita</x:v>
      </x:c>
      <x:c r="E17" s="41" t="n">
        <x:v>2.2</x:v>
      </x:c>
      <x:c r="F17" s="41" t="n">
        <x:v>-2</x:v>
      </x:c>
      <x:c r="G17" s="134" t="n">
        <x:v>35</x:v>
      </x:c>
    </x:row>
    <x:row r="18">
      <x:c r="A18" s="40" t="n">
        <x:v>14</x:v>
      </x:c>
      <x:c r="B18" s="40" t="n">
        <x:v>1</x:v>
      </x:c>
      <x:c r="C18" s="40" t="n">
        <x:v>14</x:v>
      </x:c>
      <x:c r="D18" s="36" t="str">
        <x:v>esquerda → direita</x:v>
      </x:c>
      <x:c r="E18" s="41" t="n">
        <x:v>2.45</x:v>
      </x:c>
      <x:c r="F18" s="41" t="n">
        <x:v>-2</x:v>
      </x:c>
      <x:c r="G18" s="134" t="n">
        <x:v>35.3</x:v>
      </x:c>
    </x:row>
    <x:row r="19">
      <x:c r="A19" s="40" t="n">
        <x:v>15</x:v>
      </x:c>
      <x:c r="B19" s="40" t="n">
        <x:v>1</x:v>
      </x:c>
      <x:c r="C19" s="40" t="n">
        <x:v>15</x:v>
      </x:c>
      <x:c r="D19" s="36" t="str">
        <x:v>esquerda → direita</x:v>
      </x:c>
      <x:c r="E19" s="41" t="n">
        <x:v>2.7</x:v>
      </x:c>
      <x:c r="F19" s="41" t="n">
        <x:v>-2</x:v>
      </x:c>
      <x:c r="G19" s="134" t="n">
        <x:v>36.1</x:v>
      </x:c>
    </x:row>
    <x:row r="20">
      <x:c r="A20" s="40" t="n">
        <x:v>16</x:v>
      </x:c>
      <x:c r="B20" s="40" t="n">
        <x:v>1</x:v>
      </x:c>
      <x:c r="C20" s="40" t="n">
        <x:v>16</x:v>
      </x:c>
      <x:c r="D20" s="36" t="str">
        <x:v>esquerda → direita</x:v>
      </x:c>
      <x:c r="E20" s="41" t="n">
        <x:v>2.95</x:v>
      </x:c>
      <x:c r="F20" s="41" t="n">
        <x:v>-2</x:v>
      </x:c>
      <x:c r="G20" s="134" t="n">
        <x:v>35</x:v>
      </x:c>
    </x:row>
    <x:row r="21">
      <x:c r="A21" s="40" t="n">
        <x:v>17</x:v>
      </x:c>
      <x:c r="B21" s="40" t="n">
        <x:v>1</x:v>
      </x:c>
      <x:c r="C21" s="40" t="n">
        <x:v>17</x:v>
      </x:c>
      <x:c r="D21" s="36" t="str">
        <x:v>esquerda → direita</x:v>
      </x:c>
      <x:c r="E21" s="41" t="n">
        <x:v>3.2</x:v>
      </x:c>
      <x:c r="F21" s="41" t="n">
        <x:v>-2</x:v>
      </x:c>
      <x:c r="G21" s="134" t="n">
        <x:v>35.7</x:v>
      </x:c>
    </x:row>
    <x:row r="22">
      <x:c r="A22" s="40" t="n">
        <x:v>18</x:v>
      </x:c>
      <x:c r="B22" s="40" t="n">
        <x:v>2</x:v>
      </x:c>
      <x:c r="C22" s="40" t="n">
        <x:v>1</x:v>
      </x:c>
      <x:c r="D22" s="36" t="str">
        <x:v>direita → esquerda</x:v>
      </x:c>
      <x:c r="E22" s="41" t="n">
        <x:v>3.2</x:v>
      </x:c>
      <x:c r="F22" s="41" t="n">
        <x:v>-1.75</x:v>
      </x:c>
      <x:c r="G22" s="134" t="n">
        <x:v>37</x:v>
      </x:c>
    </x:row>
    <x:row r="23">
      <x:c r="A23" s="40" t="n">
        <x:v>19</x:v>
      </x:c>
      <x:c r="B23" s="40" t="n">
        <x:v>2</x:v>
      </x:c>
      <x:c r="C23" s="40" t="n">
        <x:v>2</x:v>
      </x:c>
      <x:c r="D23" s="36" t="str">
        <x:v>direita → esquerda</x:v>
      </x:c>
      <x:c r="E23" s="41" t="n">
        <x:v>2.95</x:v>
      </x:c>
      <x:c r="F23" s="41" t="n">
        <x:v>-1.75</x:v>
      </x:c>
      <x:c r="G23" s="134" t="n">
        <x:v>35.4</x:v>
      </x:c>
    </x:row>
    <x:row r="24">
      <x:c r="A24" s="40" t="n">
        <x:v>20</x:v>
      </x:c>
      <x:c r="B24" s="40" t="n">
        <x:v>2</x:v>
      </x:c>
      <x:c r="C24" s="40" t="n">
        <x:v>3</x:v>
      </x:c>
      <x:c r="D24" s="36" t="str">
        <x:v>direita → esquerda</x:v>
      </x:c>
      <x:c r="E24" s="41" t="n">
        <x:v>2.7</x:v>
      </x:c>
      <x:c r="F24" s="41" t="n">
        <x:v>-1.75</x:v>
      </x:c>
      <x:c r="G24" s="134" t="n">
        <x:v>32.8</x:v>
      </x:c>
    </x:row>
    <x:row r="25">
      <x:c r="A25" s="40" t="n">
        <x:v>21</x:v>
      </x:c>
      <x:c r="B25" s="40" t="n">
        <x:v>2</x:v>
      </x:c>
      <x:c r="C25" s="40" t="n">
        <x:v>4</x:v>
      </x:c>
      <x:c r="D25" s="36" t="str">
        <x:v>direita → esquerda</x:v>
      </x:c>
      <x:c r="E25" s="41" t="n">
        <x:v>2.45</x:v>
      </x:c>
      <x:c r="F25" s="41" t="n">
        <x:v>-1.75</x:v>
      </x:c>
      <x:c r="G25" s="134" t="n">
        <x:v>34</x:v>
      </x:c>
    </x:row>
    <x:row r="26">
      <x:c r="A26" s="40" t="n">
        <x:v>22</x:v>
      </x:c>
      <x:c r="B26" s="40" t="n">
        <x:v>2</x:v>
      </x:c>
      <x:c r="C26" s="40" t="n">
        <x:v>5</x:v>
      </x:c>
      <x:c r="D26" s="36" t="str">
        <x:v>direita → esquerda</x:v>
      </x:c>
      <x:c r="E26" s="41" t="n">
        <x:v>2.2</x:v>
      </x:c>
      <x:c r="F26" s="41" t="n">
        <x:v>-1.75</x:v>
      </x:c>
      <x:c r="G26" s="134" t="n">
        <x:v>35.6</x:v>
      </x:c>
    </x:row>
    <x:row r="27">
      <x:c r="A27" s="40" t="n">
        <x:v>23</x:v>
      </x:c>
      <x:c r="B27" s="40" t="n">
        <x:v>2</x:v>
      </x:c>
      <x:c r="C27" s="40" t="n">
        <x:v>6</x:v>
      </x:c>
      <x:c r="D27" s="36" t="str">
        <x:v>direita → esquerda</x:v>
      </x:c>
      <x:c r="E27" s="41" t="n">
        <x:v>1.95</x:v>
      </x:c>
      <x:c r="F27" s="41" t="n">
        <x:v>-1.75</x:v>
      </x:c>
      <x:c r="G27" s="134" t="n">
        <x:v>33.8</x:v>
      </x:c>
    </x:row>
    <x:row r="28">
      <x:c r="A28" s="40" t="n">
        <x:v>24</x:v>
      </x:c>
      <x:c r="B28" s="40" t="n">
        <x:v>2</x:v>
      </x:c>
      <x:c r="C28" s="40" t="n">
        <x:v>7</x:v>
      </x:c>
      <x:c r="D28" s="36" t="str">
        <x:v>direita → esquerda</x:v>
      </x:c>
      <x:c r="E28" s="41" t="n">
        <x:v>1.7</x:v>
      </x:c>
      <x:c r="F28" s="41" t="n">
        <x:v>-1.75</x:v>
      </x:c>
      <x:c r="G28" s="134" t="n">
        <x:v>33.7</x:v>
      </x:c>
    </x:row>
    <x:row r="29">
      <x:c r="A29" s="40" t="n">
        <x:v>25</x:v>
      </x:c>
      <x:c r="B29" s="40" t="n">
        <x:v>2</x:v>
      </x:c>
      <x:c r="C29" s="40" t="n">
        <x:v>8</x:v>
      </x:c>
      <x:c r="D29" s="36" t="str">
        <x:v>direita → esquerda</x:v>
      </x:c>
      <x:c r="E29" s="41" t="n">
        <x:v>1.45</x:v>
      </x:c>
      <x:c r="F29" s="41" t="n">
        <x:v>-1.75</x:v>
      </x:c>
      <x:c r="G29" s="134" t="n">
        <x:v>34.9</x:v>
      </x:c>
    </x:row>
    <x:row r="30">
      <x:c r="A30" s="40" t="n">
        <x:v>26</x:v>
      </x:c>
      <x:c r="B30" s="40" t="n">
        <x:v>2</x:v>
      </x:c>
      <x:c r="C30" s="40" t="n">
        <x:v>9</x:v>
      </x:c>
      <x:c r="D30" s="36" t="str">
        <x:v>direita → esquerda</x:v>
      </x:c>
      <x:c r="E30" s="41" t="n">
        <x:v>1.2</x:v>
      </x:c>
      <x:c r="F30" s="41" t="n">
        <x:v>-1.75</x:v>
      </x:c>
      <x:c r="G30" s="134" t="n">
        <x:v>36.8</x:v>
      </x:c>
    </x:row>
    <x:row r="31">
      <x:c r="A31" s="40" t="n">
        <x:v>27</x:v>
      </x:c>
      <x:c r="B31" s="40" t="n">
        <x:v>2</x:v>
      </x:c>
      <x:c r="C31" s="40" t="n">
        <x:v>10</x:v>
      </x:c>
      <x:c r="D31" s="36" t="str">
        <x:v>direita → esquerda</x:v>
      </x:c>
      <x:c r="E31" s="41" t="n">
        <x:v>0.95</x:v>
      </x:c>
      <x:c r="F31" s="41" t="n">
        <x:v>-1.75</x:v>
      </x:c>
      <x:c r="G31" s="134" t="n">
        <x:v>32.5</x:v>
      </x:c>
    </x:row>
    <x:row r="32">
      <x:c r="A32" s="40" t="n">
        <x:v>28</x:v>
      </x:c>
      <x:c r="B32" s="40" t="n">
        <x:v>2</x:v>
      </x:c>
      <x:c r="C32" s="40" t="n">
        <x:v>11</x:v>
      </x:c>
      <x:c r="D32" s="36" t="str">
        <x:v>direita → esquerda</x:v>
      </x:c>
      <x:c r="E32" s="41" t="n">
        <x:v>0.7</x:v>
      </x:c>
      <x:c r="F32" s="41" t="n">
        <x:v>-1.75</x:v>
      </x:c>
      <x:c r="G32" s="134" t="n">
        <x:v>36.2</x:v>
      </x:c>
    </x:row>
    <x:row r="33">
      <x:c r="A33" s="40" t="n">
        <x:v>29</x:v>
      </x:c>
      <x:c r="B33" s="40" t="n">
        <x:v>2</x:v>
      </x:c>
      <x:c r="C33" s="40" t="n">
        <x:v>12</x:v>
      </x:c>
      <x:c r="D33" s="36" t="str">
        <x:v>direita → esquerda</x:v>
      </x:c>
      <x:c r="E33" s="41" t="n">
        <x:v>0.44999999999999996</x:v>
      </x:c>
      <x:c r="F33" s="41" t="n">
        <x:v>-1.75</x:v>
      </x:c>
      <x:c r="G33" s="134" t="n">
        <x:v>32</x:v>
      </x:c>
    </x:row>
    <x:row r="34">
      <x:c r="A34" s="40" t="n">
        <x:v>30</x:v>
      </x:c>
      <x:c r="B34" s="40" t="n">
        <x:v>2</x:v>
      </x:c>
      <x:c r="C34" s="40" t="n">
        <x:v>13</x:v>
      </x:c>
      <x:c r="D34" s="36" t="str">
        <x:v>direita → esquerda</x:v>
      </x:c>
      <x:c r="E34" s="41" t="n">
        <x:v>0.19999999999999996</x:v>
      </x:c>
      <x:c r="F34" s="41" t="n">
        <x:v>-1.75</x:v>
      </x:c>
      <x:c r="G34" s="134" t="n">
        <x:v>34.8</x:v>
      </x:c>
    </x:row>
    <x:row r="35">
      <x:c r="A35" s="40" t="n">
        <x:v>31</x:v>
      </x:c>
      <x:c r="B35" s="40" t="n">
        <x:v>2</x:v>
      </x:c>
      <x:c r="C35" s="40" t="n">
        <x:v>14</x:v>
      </x:c>
      <x:c r="D35" s="36" t="str">
        <x:v>direita → esquerda</x:v>
      </x:c>
      <x:c r="E35" s="41" t="n">
        <x:v>-0.050000000000000044</x:v>
      </x:c>
      <x:c r="F35" s="41" t="n">
        <x:v>-1.75</x:v>
      </x:c>
      <x:c r="G35" s="134" t="n">
        <x:v>32.8</x:v>
      </x:c>
    </x:row>
    <x:row r="36">
      <x:c r="A36" s="40" t="n">
        <x:v>32</x:v>
      </x:c>
      <x:c r="B36" s="40" t="n">
        <x:v>2</x:v>
      </x:c>
      <x:c r="C36" s="40" t="n">
        <x:v>15</x:v>
      </x:c>
      <x:c r="D36" s="36" t="str">
        <x:v>direita → esquerda</x:v>
      </x:c>
      <x:c r="E36" s="41" t="n">
        <x:v>-0.30000000000000004</x:v>
      </x:c>
      <x:c r="F36" s="41" t="n">
        <x:v>-1.75</x:v>
      </x:c>
      <x:c r="G36" s="134" t="n">
        <x:v>37.6</x:v>
      </x:c>
    </x:row>
    <x:row r="37">
      <x:c r="A37" s="40" t="n">
        <x:v>33</x:v>
      </x:c>
      <x:c r="B37" s="40" t="n">
        <x:v>2</x:v>
      </x:c>
      <x:c r="C37" s="40" t="n">
        <x:v>16</x:v>
      </x:c>
      <x:c r="D37" s="36" t="str">
        <x:v>direita → esquerda</x:v>
      </x:c>
      <x:c r="E37" s="41" t="n">
        <x:v>-0.55</x:v>
      </x:c>
      <x:c r="F37" s="41" t="n">
        <x:v>-1.75</x:v>
      </x:c>
      <x:c r="G37" s="134" t="n">
        <x:v>37.1</x:v>
      </x:c>
    </x:row>
    <x:row r="38">
      <x:c r="A38" s="40" t="n">
        <x:v>34</x:v>
      </x:c>
      <x:c r="B38" s="40" t="n">
        <x:v>2</x:v>
      </x:c>
      <x:c r="C38" s="40" t="n">
        <x:v>17</x:v>
      </x:c>
      <x:c r="D38" s="36" t="str">
        <x:v>direita → esquerda</x:v>
      </x:c>
      <x:c r="E38" s="41" t="n">
        <x:v>-0.8</x:v>
      </x:c>
      <x:c r="F38" s="41" t="n">
        <x:v>-1.75</x:v>
      </x:c>
      <x:c r="G38" s="134" t="n">
        <x:v>38.1</x:v>
      </x:c>
    </x:row>
    <x:row r="39">
      <x:c r="A39" s="40" t="n">
        <x:v>35</x:v>
      </x:c>
      <x:c r="B39" s="40" t="n">
        <x:v>3</x:v>
      </x:c>
      <x:c r="C39" s="40" t="n">
        <x:v>1</x:v>
      </x:c>
      <x:c r="D39" s="36" t="str">
        <x:v>esquerda → direita</x:v>
      </x:c>
      <x:c r="E39" s="41" t="n">
        <x:v>-0.8</x:v>
      </x:c>
      <x:c r="F39" s="41" t="n">
        <x:v>-1.5</x:v>
      </x:c>
      <x:c r="G39" s="134" t="n">
        <x:v>34</x:v>
      </x:c>
    </x:row>
    <x:row r="40">
      <x:c r="A40" s="40" t="n">
        <x:v>36</x:v>
      </x:c>
      <x:c r="B40" s="40" t="n">
        <x:v>3</x:v>
      </x:c>
      <x:c r="C40" s="40" t="n">
        <x:v>2</x:v>
      </x:c>
      <x:c r="D40" s="36" t="str">
        <x:v>esquerda → direita</x:v>
      </x:c>
      <x:c r="E40" s="41" t="n">
        <x:v>-0.55</x:v>
      </x:c>
      <x:c r="F40" s="41" t="n">
        <x:v>-1.5</x:v>
      </x:c>
      <x:c r="G40" s="134" t="n">
        <x:v>36.2</x:v>
      </x:c>
    </x:row>
    <x:row r="41">
      <x:c r="A41" s="40" t="n">
        <x:v>37</x:v>
      </x:c>
      <x:c r="B41" s="40" t="n">
        <x:v>3</x:v>
      </x:c>
      <x:c r="C41" s="40" t="n">
        <x:v>3</x:v>
      </x:c>
      <x:c r="D41" s="36" t="str">
        <x:v>esquerda → direita</x:v>
      </x:c>
      <x:c r="E41" s="41" t="n">
        <x:v>-0.30000000000000004</x:v>
      </x:c>
      <x:c r="F41" s="41" t="n">
        <x:v>-1.5</x:v>
      </x:c>
      <x:c r="G41" s="134" t="n">
        <x:v>33.6</x:v>
      </x:c>
    </x:row>
    <x:row r="42">
      <x:c r="A42" s="40" t="n">
        <x:v>38</x:v>
      </x:c>
      <x:c r="B42" s="40" t="n">
        <x:v>3</x:v>
      </x:c>
      <x:c r="C42" s="40" t="n">
        <x:v>4</x:v>
      </x:c>
      <x:c r="D42" s="36" t="str">
        <x:v>esquerda → direita</x:v>
      </x:c>
      <x:c r="E42" s="41" t="n">
        <x:v>-0.050000000000000044</x:v>
      </x:c>
      <x:c r="F42" s="41" t="n">
        <x:v>-1.5</x:v>
      </x:c>
      <x:c r="G42" s="134" t="n">
        <x:v>33.1</x:v>
      </x:c>
    </x:row>
    <x:row r="43">
      <x:c r="A43" s="40" t="n">
        <x:v>39</x:v>
      </x:c>
      <x:c r="B43" s="40" t="n">
        <x:v>3</x:v>
      </x:c>
      <x:c r="C43" s="40" t="n">
        <x:v>5</x:v>
      </x:c>
      <x:c r="D43" s="36" t="str">
        <x:v>esquerda → direita</x:v>
      </x:c>
      <x:c r="E43" s="41" t="n">
        <x:v>0.19999999999999996</x:v>
      </x:c>
      <x:c r="F43" s="41" t="n">
        <x:v>-1.5</x:v>
      </x:c>
      <x:c r="G43" s="134" t="n">
        <x:v>34.3</x:v>
      </x:c>
    </x:row>
    <x:row r="44">
      <x:c r="A44" s="40" t="n">
        <x:v>40</x:v>
      </x:c>
      <x:c r="B44" s="40" t="n">
        <x:v>3</x:v>
      </x:c>
      <x:c r="C44" s="40" t="n">
        <x:v>6</x:v>
      </x:c>
      <x:c r="D44" s="36" t="str">
        <x:v>esquerda → direita</x:v>
      </x:c>
      <x:c r="E44" s="41" t="n">
        <x:v>0.44999999999999996</x:v>
      </x:c>
      <x:c r="F44" s="41" t="n">
        <x:v>-1.5</x:v>
      </x:c>
      <x:c r="G44" s="134" t="n">
        <x:v>34.4</x:v>
      </x:c>
    </x:row>
    <x:row r="45">
      <x:c r="A45" s="40" t="n">
        <x:v>41</x:v>
      </x:c>
      <x:c r="B45" s="40" t="n">
        <x:v>3</x:v>
      </x:c>
      <x:c r="C45" s="40" t="n">
        <x:v>7</x:v>
      </x:c>
      <x:c r="D45" s="36" t="str">
        <x:v>esquerda → direita</x:v>
      </x:c>
      <x:c r="E45" s="41" t="n">
        <x:v>0.7</x:v>
      </x:c>
      <x:c r="F45" s="41" t="n">
        <x:v>-1.5</x:v>
      </x:c>
      <x:c r="G45" s="134" t="n">
        <x:v>33</x:v>
      </x:c>
    </x:row>
    <x:row r="46">
      <x:c r="A46" s="40" t="n">
        <x:v>42</x:v>
      </x:c>
      <x:c r="B46" s="40" t="n">
        <x:v>3</x:v>
      </x:c>
      <x:c r="C46" s="40" t="n">
        <x:v>8</x:v>
      </x:c>
      <x:c r="D46" s="36" t="str">
        <x:v>esquerda → direita</x:v>
      </x:c>
      <x:c r="E46" s="41" t="n">
        <x:v>0.95</x:v>
      </x:c>
      <x:c r="F46" s="41" t="n">
        <x:v>-1.5</x:v>
      </x:c>
      <x:c r="G46" s="134" t="n">
        <x:v>31.4</x:v>
      </x:c>
    </x:row>
    <x:row r="47">
      <x:c r="A47" s="40" t="n">
        <x:v>43</x:v>
      </x:c>
      <x:c r="B47" s="40" t="n">
        <x:v>3</x:v>
      </x:c>
      <x:c r="C47" s="40" t="n">
        <x:v>9</x:v>
      </x:c>
      <x:c r="D47" s="36" t="str">
        <x:v>esquerda → direita</x:v>
      </x:c>
      <x:c r="E47" s="41" t="n">
        <x:v>1.2</x:v>
      </x:c>
      <x:c r="F47" s="41" t="n">
        <x:v>-1.5</x:v>
      </x:c>
      <x:c r="G47" s="134" t="n">
        <x:v>31</x:v>
      </x:c>
    </x:row>
    <x:row r="48">
      <x:c r="A48" s="40" t="n">
        <x:v>44</x:v>
      </x:c>
      <x:c r="B48" s="40" t="n">
        <x:v>3</x:v>
      </x:c>
      <x:c r="C48" s="40" t="n">
        <x:v>10</x:v>
      </x:c>
      <x:c r="D48" s="36" t="str">
        <x:v>esquerda → direita</x:v>
      </x:c>
      <x:c r="E48" s="41" t="n">
        <x:v>1.45</x:v>
      </x:c>
      <x:c r="F48" s="41" t="n">
        <x:v>-1.5</x:v>
      </x:c>
      <x:c r="G48" s="134" t="n">
        <x:v>34.8</x:v>
      </x:c>
    </x:row>
    <x:row r="49">
      <x:c r="A49" s="40" t="n">
        <x:v>45</x:v>
      </x:c>
      <x:c r="B49" s="40" t="n">
        <x:v>3</x:v>
      </x:c>
      <x:c r="C49" s="40" t="n">
        <x:v>11</x:v>
      </x:c>
      <x:c r="D49" s="36" t="str">
        <x:v>esquerda → direita</x:v>
      </x:c>
      <x:c r="E49" s="41" t="n">
        <x:v>1.7</x:v>
      </x:c>
      <x:c r="F49" s="41" t="n">
        <x:v>-1.5</x:v>
      </x:c>
      <x:c r="G49" s="134" t="n">
        <x:v>33.5</x:v>
      </x:c>
    </x:row>
    <x:row r="50">
      <x:c r="A50" s="40" t="n">
        <x:v>46</x:v>
      </x:c>
      <x:c r="B50" s="40" t="n">
        <x:v>3</x:v>
      </x:c>
      <x:c r="C50" s="40" t="n">
        <x:v>12</x:v>
      </x:c>
      <x:c r="D50" s="36" t="str">
        <x:v>esquerda → direita</x:v>
      </x:c>
      <x:c r="E50" s="41" t="n">
        <x:v>1.95</x:v>
      </x:c>
      <x:c r="F50" s="41" t="n">
        <x:v>-1.5</x:v>
      </x:c>
      <x:c r="G50" s="134" t="n">
        <x:v>34.1</x:v>
      </x:c>
    </x:row>
    <x:row r="51">
      <x:c r="A51" s="40" t="n">
        <x:v>47</x:v>
      </x:c>
      <x:c r="B51" s="40" t="n">
        <x:v>3</x:v>
      </x:c>
      <x:c r="C51" s="40" t="n">
        <x:v>13</x:v>
      </x:c>
      <x:c r="D51" s="36" t="str">
        <x:v>esquerda → direita</x:v>
      </x:c>
      <x:c r="E51" s="41" t="n">
        <x:v>2.2</x:v>
      </x:c>
      <x:c r="F51" s="41" t="n">
        <x:v>-1.5</x:v>
      </x:c>
      <x:c r="G51" s="134" t="n">
        <x:v>37</x:v>
      </x:c>
    </x:row>
    <x:row r="52">
      <x:c r="A52" s="40" t="n">
        <x:v>48</x:v>
      </x:c>
      <x:c r="B52" s="40" t="n">
        <x:v>3</x:v>
      </x:c>
      <x:c r="C52" s="40" t="n">
        <x:v>14</x:v>
      </x:c>
      <x:c r="D52" s="36" t="str">
        <x:v>esquerda → direita</x:v>
      </x:c>
      <x:c r="E52" s="41" t="n">
        <x:v>2.45</x:v>
      </x:c>
      <x:c r="F52" s="41" t="n">
        <x:v>-1.5</x:v>
      </x:c>
      <x:c r="G52" s="134" t="n">
        <x:v>32.3</x:v>
      </x:c>
    </x:row>
    <x:row r="53">
      <x:c r="A53" s="40" t="n">
        <x:v>49</x:v>
      </x:c>
      <x:c r="B53" s="40" t="n">
        <x:v>3</x:v>
      </x:c>
      <x:c r="C53" s="40" t="n">
        <x:v>15</x:v>
      </x:c>
      <x:c r="D53" s="36" t="str">
        <x:v>esquerda → direita</x:v>
      </x:c>
      <x:c r="E53" s="41" t="n">
        <x:v>2.7</x:v>
      </x:c>
      <x:c r="F53" s="41" t="n">
        <x:v>-1.5</x:v>
      </x:c>
      <x:c r="G53" s="134" t="n">
        <x:v>38.7</x:v>
      </x:c>
    </x:row>
    <x:row r="54">
      <x:c r="A54" s="40" t="n">
        <x:v>50</x:v>
      </x:c>
      <x:c r="B54" s="40" t="n">
        <x:v>3</x:v>
      </x:c>
      <x:c r="C54" s="40" t="n">
        <x:v>16</x:v>
      </x:c>
      <x:c r="D54" s="36" t="str">
        <x:v>esquerda → direita</x:v>
      </x:c>
      <x:c r="E54" s="41" t="n">
        <x:v>2.95</x:v>
      </x:c>
      <x:c r="F54" s="41" t="n">
        <x:v>-1.5</x:v>
      </x:c>
      <x:c r="G54" s="134" t="n">
        <x:v>39.5</x:v>
      </x:c>
    </x:row>
    <x:row r="55">
      <x:c r="A55" s="40" t="n">
        <x:v>51</x:v>
      </x:c>
      <x:c r="B55" s="40" t="n">
        <x:v>3</x:v>
      </x:c>
      <x:c r="C55" s="40" t="n">
        <x:v>17</x:v>
      </x:c>
      <x:c r="D55" s="36" t="str">
        <x:v>esquerda → direita</x:v>
      </x:c>
      <x:c r="E55" s="41" t="n">
        <x:v>3.2</x:v>
      </x:c>
      <x:c r="F55" s="41" t="n">
        <x:v>-1.5</x:v>
      </x:c>
      <x:c r="G55" s="134" t="n">
        <x:v>38.2</x:v>
      </x:c>
    </x:row>
    <x:row r="56">
      <x:c r="A56" s="40" t="n">
        <x:v>52</x:v>
      </x:c>
      <x:c r="B56" s="40" t="n">
        <x:v>4</x:v>
      </x:c>
      <x:c r="C56" s="40" t="n">
        <x:v>1</x:v>
      </x:c>
      <x:c r="D56" s="36" t="str">
        <x:v>direita → esquerda</x:v>
      </x:c>
      <x:c r="E56" s="41" t="n">
        <x:v>3.2</x:v>
      </x:c>
      <x:c r="F56" s="41" t="n">
        <x:v>-1.25</x:v>
      </x:c>
      <x:c r="G56" s="134" t="n">
        <x:v>36.2</x:v>
      </x:c>
    </x:row>
    <x:row r="57">
      <x:c r="A57" s="40" t="n">
        <x:v>53</x:v>
      </x:c>
      <x:c r="B57" s="40" t="n">
        <x:v>4</x:v>
      </x:c>
      <x:c r="C57" s="40" t="n">
        <x:v>2</x:v>
      </x:c>
      <x:c r="D57" s="36" t="str">
        <x:v>direita → esquerda</x:v>
      </x:c>
      <x:c r="E57" s="41" t="n">
        <x:v>2.95</x:v>
      </x:c>
      <x:c r="F57" s="41" t="n">
        <x:v>-1.25</x:v>
      </x:c>
      <x:c r="G57" s="134" t="n">
        <x:v>32.9</x:v>
      </x:c>
    </x:row>
    <x:row r="58">
      <x:c r="A58" s="40" t="n">
        <x:v>54</x:v>
      </x:c>
      <x:c r="B58" s="40" t="n">
        <x:v>4</x:v>
      </x:c>
      <x:c r="C58" s="40" t="n">
        <x:v>3</x:v>
      </x:c>
      <x:c r="D58" s="36" t="str">
        <x:v>direita → esquerda</x:v>
      </x:c>
      <x:c r="E58" s="41" t="n">
        <x:v>2.7</x:v>
      </x:c>
      <x:c r="F58" s="41" t="n">
        <x:v>-1.25</x:v>
      </x:c>
      <x:c r="G58" s="134" t="n">
        <x:v>35</x:v>
      </x:c>
    </x:row>
    <x:row r="59">
      <x:c r="A59" s="40" t="n">
        <x:v>55</x:v>
      </x:c>
      <x:c r="B59" s="40" t="n">
        <x:v>4</x:v>
      </x:c>
      <x:c r="C59" s="40" t="n">
        <x:v>4</x:v>
      </x:c>
      <x:c r="D59" s="36" t="str">
        <x:v>direita → esquerda</x:v>
      </x:c>
      <x:c r="E59" s="41" t="n">
        <x:v>2.45</x:v>
      </x:c>
      <x:c r="F59" s="41" t="n">
        <x:v>-1.25</x:v>
      </x:c>
      <x:c r="G59" s="134" t="n">
        <x:v>31.9</x:v>
      </x:c>
    </x:row>
    <x:row r="60">
      <x:c r="A60" s="40" t="n">
        <x:v>56</x:v>
      </x:c>
      <x:c r="B60" s="40" t="n">
        <x:v>4</x:v>
      </x:c>
      <x:c r="C60" s="40" t="n">
        <x:v>5</x:v>
      </x:c>
      <x:c r="D60" s="36" t="str">
        <x:v>direita → esquerda</x:v>
      </x:c>
      <x:c r="E60" s="41" t="n">
        <x:v>2.2</x:v>
      </x:c>
      <x:c r="F60" s="41" t="n">
        <x:v>-1.25</x:v>
      </x:c>
      <x:c r="G60" s="134" t="n">
        <x:v>31.9</x:v>
      </x:c>
    </x:row>
    <x:row r="61">
      <x:c r="A61" s="40" t="n">
        <x:v>57</x:v>
      </x:c>
      <x:c r="B61" s="40" t="n">
        <x:v>4</x:v>
      </x:c>
      <x:c r="C61" s="40" t="n">
        <x:v>6</x:v>
      </x:c>
      <x:c r="D61" s="36" t="str">
        <x:v>direita → esquerda</x:v>
      </x:c>
      <x:c r="E61" s="41" t="n">
        <x:v>1.95</x:v>
      </x:c>
      <x:c r="F61" s="41" t="n">
        <x:v>-1.25</x:v>
      </x:c>
      <x:c r="G61" s="134" t="n">
        <x:v>30.9</x:v>
      </x:c>
    </x:row>
    <x:row r="62">
      <x:c r="A62" s="40" t="n">
        <x:v>58</x:v>
      </x:c>
      <x:c r="B62" s="40" t="n">
        <x:v>4</x:v>
      </x:c>
      <x:c r="C62" s="40" t="n">
        <x:v>7</x:v>
      </x:c>
      <x:c r="D62" s="36" t="str">
        <x:v>direita → esquerda</x:v>
      </x:c>
      <x:c r="E62" s="41" t="n">
        <x:v>1.7</x:v>
      </x:c>
      <x:c r="F62" s="41" t="n">
        <x:v>-1.25</x:v>
      </x:c>
      <x:c r="G62" s="134" t="n">
        <x:v>31.3</x:v>
      </x:c>
    </x:row>
    <x:row r="63">
      <x:c r="A63" s="40" t="n">
        <x:v>59</x:v>
      </x:c>
      <x:c r="B63" s="40" t="n">
        <x:v>4</x:v>
      </x:c>
      <x:c r="C63" s="40" t="n">
        <x:v>8</x:v>
      </x:c>
      <x:c r="D63" s="36" t="str">
        <x:v>direita → esquerda</x:v>
      </x:c>
      <x:c r="E63" s="41" t="n">
        <x:v>1.45</x:v>
      </x:c>
      <x:c r="F63" s="41" t="n">
        <x:v>-1.25</x:v>
      </x:c>
      <x:c r="G63" s="134" t="n">
        <x:v>32.6</x:v>
      </x:c>
    </x:row>
    <x:row r="64">
      <x:c r="A64" s="40" t="n">
        <x:v>60</x:v>
      </x:c>
      <x:c r="B64" s="40" t="n">
        <x:v>4</x:v>
      </x:c>
      <x:c r="C64" s="40" t="n">
        <x:v>9</x:v>
      </x:c>
      <x:c r="D64" s="36" t="str">
        <x:v>direita → esquerda</x:v>
      </x:c>
      <x:c r="E64" s="41" t="n">
        <x:v>1.2</x:v>
      </x:c>
      <x:c r="F64" s="41" t="n">
        <x:v>-1.25</x:v>
      </x:c>
      <x:c r="G64" s="134" t="n">
        <x:v>29.6</x:v>
      </x:c>
    </x:row>
    <x:row r="65">
      <x:c r="A65" s="40" t="n">
        <x:v>61</x:v>
      </x:c>
      <x:c r="B65" s="40" t="n">
        <x:v>4</x:v>
      </x:c>
      <x:c r="C65" s="40" t="n">
        <x:v>10</x:v>
      </x:c>
      <x:c r="D65" s="36" t="str">
        <x:v>direita → esquerda</x:v>
      </x:c>
      <x:c r="E65" s="41" t="n">
        <x:v>0.95</x:v>
      </x:c>
      <x:c r="F65" s="41" t="n">
        <x:v>-1.25</x:v>
      </x:c>
      <x:c r="G65" s="134" t="n">
        <x:v>29</x:v>
      </x:c>
    </x:row>
    <x:row r="66">
      <x:c r="A66" s="40" t="n">
        <x:v>62</x:v>
      </x:c>
      <x:c r="B66" s="40" t="n">
        <x:v>4</x:v>
      </x:c>
      <x:c r="C66" s="40" t="n">
        <x:v>11</x:v>
      </x:c>
      <x:c r="D66" s="36" t="str">
        <x:v>direita → esquerda</x:v>
      </x:c>
      <x:c r="E66" s="41" t="n">
        <x:v>0.7</x:v>
      </x:c>
      <x:c r="F66" s="41" t="n">
        <x:v>-1.25</x:v>
      </x:c>
      <x:c r="G66" s="134" t="n">
        <x:v>29.3</x:v>
      </x:c>
    </x:row>
    <x:row r="67">
      <x:c r="A67" s="40" t="n">
        <x:v>63</x:v>
      </x:c>
      <x:c r="B67" s="40" t="n">
        <x:v>4</x:v>
      </x:c>
      <x:c r="C67" s="40" t="n">
        <x:v>12</x:v>
      </x:c>
      <x:c r="D67" s="36" t="str">
        <x:v>direita → esquerda</x:v>
      </x:c>
      <x:c r="E67" s="41" t="n">
        <x:v>0.44999999999999996</x:v>
      </x:c>
      <x:c r="F67" s="41" t="n">
        <x:v>-1.25</x:v>
      </x:c>
      <x:c r="G67" s="134" t="n">
        <x:v>29.7</x:v>
      </x:c>
    </x:row>
    <x:row r="68">
      <x:c r="A68" s="40" t="n">
        <x:v>64</x:v>
      </x:c>
      <x:c r="B68" s="40" t="n">
        <x:v>4</x:v>
      </x:c>
      <x:c r="C68" s="40" t="n">
        <x:v>13</x:v>
      </x:c>
      <x:c r="D68" s="36" t="str">
        <x:v>direita → esquerda</x:v>
      </x:c>
      <x:c r="E68" s="41" t="n">
        <x:v>0.19999999999999996</x:v>
      </x:c>
      <x:c r="F68" s="41" t="n">
        <x:v>-1.25</x:v>
      </x:c>
      <x:c r="G68" s="134" t="n">
        <x:v>29.5</x:v>
      </x:c>
    </x:row>
    <x:row r="69">
      <x:c r="A69" s="40" t="n">
        <x:v>65</x:v>
      </x:c>
      <x:c r="B69" s="40" t="n">
        <x:v>4</x:v>
      </x:c>
      <x:c r="C69" s="40" t="n">
        <x:v>14</x:v>
      </x:c>
      <x:c r="D69" s="36" t="str">
        <x:v>direita → esquerda</x:v>
      </x:c>
      <x:c r="E69" s="41" t="n">
        <x:v>-0.050000000000000044</x:v>
      </x:c>
      <x:c r="F69" s="41" t="n">
        <x:v>-1.25</x:v>
      </x:c>
      <x:c r="G69" s="134" t="n">
        <x:v>31</x:v>
      </x:c>
    </x:row>
    <x:row r="70">
      <x:c r="A70" s="40" t="n">
        <x:v>66</x:v>
      </x:c>
      <x:c r="B70" s="40" t="n">
        <x:v>4</x:v>
      </x:c>
      <x:c r="C70" s="40" t="n">
        <x:v>15</x:v>
      </x:c>
      <x:c r="D70" s="36" t="str">
        <x:v>direita → esquerda</x:v>
      </x:c>
      <x:c r="E70" s="41" t="n">
        <x:v>-0.30000000000000004</x:v>
      </x:c>
      <x:c r="F70" s="41" t="n">
        <x:v>-1.25</x:v>
      </x:c>
      <x:c r="G70" s="134" t="n">
        <x:v>35.4</x:v>
      </x:c>
    </x:row>
    <x:row r="71">
      <x:c r="A71" s="40" t="n">
        <x:v>67</x:v>
      </x:c>
      <x:c r="B71" s="40" t="n">
        <x:v>4</x:v>
      </x:c>
      <x:c r="C71" s="40" t="n">
        <x:v>16</x:v>
      </x:c>
      <x:c r="D71" s="36" t="str">
        <x:v>direita → esquerda</x:v>
      </x:c>
      <x:c r="E71" s="41" t="n">
        <x:v>-0.55</x:v>
      </x:c>
      <x:c r="F71" s="41" t="n">
        <x:v>-1.25</x:v>
      </x:c>
      <x:c r="G71" s="134" t="n">
        <x:v>32.8</x:v>
      </x:c>
    </x:row>
    <x:row r="72">
      <x:c r="A72" s="40" t="n">
        <x:v>68</x:v>
      </x:c>
      <x:c r="B72" s="40" t="n">
        <x:v>4</x:v>
      </x:c>
      <x:c r="C72" s="40" t="n">
        <x:v>17</x:v>
      </x:c>
      <x:c r="D72" s="36" t="str">
        <x:v>direita → esquerda</x:v>
      </x:c>
      <x:c r="E72" s="41" t="n">
        <x:v>-0.8</x:v>
      </x:c>
      <x:c r="F72" s="41" t="n">
        <x:v>-1.25</x:v>
      </x:c>
      <x:c r="G72" s="134" t="n">
        <x:v>35</x:v>
      </x:c>
    </x:row>
    <x:row r="73">
      <x:c r="A73" s="40" t="n">
        <x:v>69</x:v>
      </x:c>
      <x:c r="B73" s="40" t="n">
        <x:v>5</x:v>
      </x:c>
      <x:c r="C73" s="40" t="n">
        <x:v>1</x:v>
      </x:c>
      <x:c r="D73" s="36" t="str">
        <x:v>esquerda → direita</x:v>
      </x:c>
      <x:c r="E73" s="41" t="n">
        <x:v>-0.8</x:v>
      </x:c>
      <x:c r="F73" s="41" t="n">
        <x:v>-1</x:v>
      </x:c>
      <x:c r="G73" s="134" t="n">
        <x:v>31.9</x:v>
      </x:c>
    </x:row>
    <x:row r="74">
      <x:c r="A74" s="40" t="n">
        <x:v>70</x:v>
      </x:c>
      <x:c r="B74" s="40" t="n">
        <x:v>5</x:v>
      </x:c>
      <x:c r="C74" s="40" t="n">
        <x:v>2</x:v>
      </x:c>
      <x:c r="D74" s="36" t="str">
        <x:v>esquerda → direita</x:v>
      </x:c>
      <x:c r="E74" s="41" t="n">
        <x:v>-0.55</x:v>
      </x:c>
      <x:c r="F74" s="41" t="n">
        <x:v>-1</x:v>
      </x:c>
      <x:c r="G74" s="134" t="n">
        <x:v>33.4</x:v>
      </x:c>
    </x:row>
    <x:row r="75">
      <x:c r="A75" s="40" t="n">
        <x:v>71</x:v>
      </x:c>
      <x:c r="B75" s="40" t="n">
        <x:v>5</x:v>
      </x:c>
      <x:c r="C75" s="40" t="n">
        <x:v>3</x:v>
      </x:c>
      <x:c r="D75" s="36" t="str">
        <x:v>esquerda → direita</x:v>
      </x:c>
      <x:c r="E75" s="41" t="n">
        <x:v>-0.30000000000000004</x:v>
      </x:c>
      <x:c r="F75" s="41" t="n">
        <x:v>-1</x:v>
      </x:c>
      <x:c r="G75" s="134" t="n">
        <x:v>29.3</x:v>
      </x:c>
    </x:row>
    <x:row r="76">
      <x:c r="A76" s="40" t="n">
        <x:v>72</x:v>
      </x:c>
      <x:c r="B76" s="40" t="n">
        <x:v>5</x:v>
      </x:c>
      <x:c r="C76" s="40" t="n">
        <x:v>4</x:v>
      </x:c>
      <x:c r="D76" s="36" t="str">
        <x:v>esquerda → direita</x:v>
      </x:c>
      <x:c r="E76" s="41" t="n">
        <x:v>-0.050000000000000044</x:v>
      </x:c>
      <x:c r="F76" s="41" t="n">
        <x:v>-1</x:v>
      </x:c>
      <x:c r="G76" s="134" t="n">
        <x:v>30.1</x:v>
      </x:c>
    </x:row>
    <x:row r="77">
      <x:c r="A77" s="40" t="n">
        <x:v>73</x:v>
      </x:c>
      <x:c r="B77" s="40" t="n">
        <x:v>5</x:v>
      </x:c>
      <x:c r="C77" s="40" t="n">
        <x:v>5</x:v>
      </x:c>
      <x:c r="D77" s="36" t="str">
        <x:v>esquerda → direita</x:v>
      </x:c>
      <x:c r="E77" s="41" t="n">
        <x:v>0.19999999999999996</x:v>
      </x:c>
      <x:c r="F77" s="41" t="n">
        <x:v>-1</x:v>
      </x:c>
      <x:c r="G77" s="134" t="n">
        <x:v>33.8</x:v>
      </x:c>
    </x:row>
    <x:row r="78">
      <x:c r="A78" s="40" t="n">
        <x:v>74</x:v>
      </x:c>
      <x:c r="B78" s="40" t="n">
        <x:v>5</x:v>
      </x:c>
      <x:c r="C78" s="40" t="n">
        <x:v>6</x:v>
      </x:c>
      <x:c r="D78" s="36" t="str">
        <x:v>esquerda → direita</x:v>
      </x:c>
      <x:c r="E78" s="41" t="n">
        <x:v>0.44999999999999996</x:v>
      </x:c>
      <x:c r="F78" s="41" t="n">
        <x:v>-1</x:v>
      </x:c>
      <x:c r="G78" s="134" t="n">
        <x:v>28.6</x:v>
      </x:c>
    </x:row>
    <x:row r="79">
      <x:c r="A79" s="40" t="n">
        <x:v>75</x:v>
      </x:c>
      <x:c r="B79" s="40" t="n">
        <x:v>5</x:v>
      </x:c>
      <x:c r="C79" s="40" t="n">
        <x:v>7</x:v>
      </x:c>
      <x:c r="D79" s="36" t="str">
        <x:v>esquerda → direita</x:v>
      </x:c>
      <x:c r="E79" s="41" t="n">
        <x:v>0.7</x:v>
      </x:c>
      <x:c r="F79" s="41" t="n">
        <x:v>-1</x:v>
      </x:c>
      <x:c r="G79" s="134" t="n">
        <x:v>30.5</x:v>
      </x:c>
    </x:row>
    <x:row r="80">
      <x:c r="A80" s="40" t="n">
        <x:v>76</x:v>
      </x:c>
      <x:c r="B80" s="40" t="n">
        <x:v>5</x:v>
      </x:c>
      <x:c r="C80" s="40" t="n">
        <x:v>8</x:v>
      </x:c>
      <x:c r="D80" s="36" t="str">
        <x:v>esquerda → direita</x:v>
      </x:c>
      <x:c r="E80" s="41" t="n">
        <x:v>0.95</x:v>
      </x:c>
      <x:c r="F80" s="41" t="n">
        <x:v>-1</x:v>
      </x:c>
      <x:c r="G80" s="134" t="n">
        <x:v>29.2</x:v>
      </x:c>
    </x:row>
    <x:row r="81">
      <x:c r="A81" s="40" t="n">
        <x:v>77</x:v>
      </x:c>
      <x:c r="B81" s="40" t="n">
        <x:v>5</x:v>
      </x:c>
      <x:c r="C81" s="40" t="n">
        <x:v>9</x:v>
      </x:c>
      <x:c r="D81" s="36" t="str">
        <x:v>esquerda → direita</x:v>
      </x:c>
      <x:c r="E81" s="41" t="n">
        <x:v>1.2</x:v>
      </x:c>
      <x:c r="F81" s="41" t="n">
        <x:v>-1</x:v>
      </x:c>
      <x:c r="G81" s="134" t="n">
        <x:v>28.2</x:v>
      </x:c>
    </x:row>
    <x:row r="82">
      <x:c r="A82" s="40" t="n">
        <x:v>78</x:v>
      </x:c>
      <x:c r="B82" s="40" t="n">
        <x:v>5</x:v>
      </x:c>
      <x:c r="C82" s="40" t="n">
        <x:v>10</x:v>
      </x:c>
      <x:c r="D82" s="36" t="str">
        <x:v>esquerda → direita</x:v>
      </x:c>
      <x:c r="E82" s="41" t="n">
        <x:v>1.45</x:v>
      </x:c>
      <x:c r="F82" s="41" t="n">
        <x:v>-1</x:v>
      </x:c>
      <x:c r="G82" s="134" t="n">
        <x:v>27.6</x:v>
      </x:c>
    </x:row>
    <x:row r="83">
      <x:c r="A83" s="40" t="n">
        <x:v>79</x:v>
      </x:c>
      <x:c r="B83" s="40" t="n">
        <x:v>5</x:v>
      </x:c>
      <x:c r="C83" s="40" t="n">
        <x:v>11</x:v>
      </x:c>
      <x:c r="D83" s="36" t="str">
        <x:v>esquerda → direita</x:v>
      </x:c>
      <x:c r="E83" s="41" t="n">
        <x:v>1.7</x:v>
      </x:c>
      <x:c r="F83" s="41" t="n">
        <x:v>-1</x:v>
      </x:c>
      <x:c r="G83" s="134" t="n">
        <x:v>30.8</x:v>
      </x:c>
    </x:row>
    <x:row r="84">
      <x:c r="A84" s="40" t="n">
        <x:v>80</x:v>
      </x:c>
      <x:c r="B84" s="40" t="n">
        <x:v>5</x:v>
      </x:c>
      <x:c r="C84" s="40" t="n">
        <x:v>12</x:v>
      </x:c>
      <x:c r="D84" s="36" t="str">
        <x:v>esquerda → direita</x:v>
      </x:c>
      <x:c r="E84" s="41" t="n">
        <x:v>1.95</x:v>
      </x:c>
      <x:c r="F84" s="41" t="n">
        <x:v>-1</x:v>
      </x:c>
      <x:c r="G84" s="134" t="n">
        <x:v>29.3</x:v>
      </x:c>
    </x:row>
    <x:row r="85">
      <x:c r="A85" s="40" t="n">
        <x:v>81</x:v>
      </x:c>
      <x:c r="B85" s="40" t="n">
        <x:v>5</x:v>
      </x:c>
      <x:c r="C85" s="40" t="n">
        <x:v>13</x:v>
      </x:c>
      <x:c r="D85" s="36" t="str">
        <x:v>esquerda → direita</x:v>
      </x:c>
      <x:c r="E85" s="41" t="n">
        <x:v>2.2</x:v>
      </x:c>
      <x:c r="F85" s="41" t="n">
        <x:v>-1</x:v>
      </x:c>
      <x:c r="G85" s="134" t="n">
        <x:v>32.7</x:v>
      </x:c>
    </x:row>
    <x:row r="86">
      <x:c r="A86" s="40" t="n">
        <x:v>82</x:v>
      </x:c>
      <x:c r="B86" s="40" t="n">
        <x:v>5</x:v>
      </x:c>
      <x:c r="C86" s="40" t="n">
        <x:v>14</x:v>
      </x:c>
      <x:c r="D86" s="36" t="str">
        <x:v>esquerda → direita</x:v>
      </x:c>
      <x:c r="E86" s="41" t="n">
        <x:v>2.45</x:v>
      </x:c>
      <x:c r="F86" s="41" t="n">
        <x:v>-1</x:v>
      </x:c>
      <x:c r="G86" s="134" t="n">
        <x:v>30.1</x:v>
      </x:c>
    </x:row>
    <x:row r="87">
      <x:c r="A87" s="40" t="n">
        <x:v>83</x:v>
      </x:c>
      <x:c r="B87" s="40" t="n">
        <x:v>5</x:v>
      </x:c>
      <x:c r="C87" s="40" t="n">
        <x:v>15</x:v>
      </x:c>
      <x:c r="D87" s="36" t="str">
        <x:v>esquerda → direita</x:v>
      </x:c>
      <x:c r="E87" s="41" t="n">
        <x:v>2.7</x:v>
      </x:c>
      <x:c r="F87" s="41" t="n">
        <x:v>-1</x:v>
      </x:c>
      <x:c r="G87" s="134" t="n">
        <x:v>32.4</x:v>
      </x:c>
    </x:row>
    <x:row r="88">
      <x:c r="A88" s="40" t="n">
        <x:v>84</x:v>
      </x:c>
      <x:c r="B88" s="40" t="n">
        <x:v>5</x:v>
      </x:c>
      <x:c r="C88" s="40" t="n">
        <x:v>16</x:v>
      </x:c>
      <x:c r="D88" s="36" t="str">
        <x:v>esquerda → direita</x:v>
      </x:c>
      <x:c r="E88" s="41" t="n">
        <x:v>2.95</x:v>
      </x:c>
      <x:c r="F88" s="41" t="n">
        <x:v>-1</x:v>
      </x:c>
      <x:c r="G88" s="134" t="n">
        <x:v>34</x:v>
      </x:c>
    </x:row>
    <x:row r="89">
      <x:c r="A89" s="40" t="n">
        <x:v>85</x:v>
      </x:c>
      <x:c r="B89" s="40" t="n">
        <x:v>5</x:v>
      </x:c>
      <x:c r="C89" s="40" t="n">
        <x:v>17</x:v>
      </x:c>
      <x:c r="D89" s="36" t="str">
        <x:v>esquerda → direita</x:v>
      </x:c>
      <x:c r="E89" s="41" t="n">
        <x:v>3.2</x:v>
      </x:c>
      <x:c r="F89" s="41" t="n">
        <x:v>-1</x:v>
      </x:c>
      <x:c r="G89" s="134" t="n">
        <x:v>34.7</x:v>
      </x:c>
    </x:row>
    <x:row r="90">
      <x:c r="A90" s="40" t="n">
        <x:v>86</x:v>
      </x:c>
      <x:c r="B90" s="40" t="n">
        <x:v>6</x:v>
      </x:c>
      <x:c r="C90" s="40" t="n">
        <x:v>1</x:v>
      </x:c>
      <x:c r="D90" s="36" t="str">
        <x:v>direita → esquerda</x:v>
      </x:c>
      <x:c r="E90" s="41" t="n">
        <x:v>3.2</x:v>
      </x:c>
      <x:c r="F90" s="41" t="n">
        <x:v>-0.75</x:v>
      </x:c>
      <x:c r="G90" s="134" t="n">
        <x:v>31.4</x:v>
      </x:c>
    </x:row>
    <x:row r="91">
      <x:c r="A91" s="40" t="n">
        <x:v>87</x:v>
      </x:c>
      <x:c r="B91" s="40" t="n">
        <x:v>6</x:v>
      </x:c>
      <x:c r="C91" s="40" t="n">
        <x:v>2</x:v>
      </x:c>
      <x:c r="D91" s="36" t="str">
        <x:v>direita → esquerda</x:v>
      </x:c>
      <x:c r="E91" s="41" t="n">
        <x:v>2.95</x:v>
      </x:c>
      <x:c r="F91" s="41" t="n">
        <x:v>-0.75</x:v>
      </x:c>
      <x:c r="G91" s="134" t="n">
        <x:v>31.4</x:v>
      </x:c>
    </x:row>
    <x:row r="92">
      <x:c r="A92" s="40" t="n">
        <x:v>88</x:v>
      </x:c>
      <x:c r="B92" s="40" t="n">
        <x:v>6</x:v>
      </x:c>
      <x:c r="C92" s="40" t="n">
        <x:v>3</x:v>
      </x:c>
      <x:c r="D92" s="36" t="str">
        <x:v>direita → esquerda</x:v>
      </x:c>
      <x:c r="E92" s="41" t="n">
        <x:v>2.7</x:v>
      </x:c>
      <x:c r="F92" s="41" t="n">
        <x:v>-0.75</x:v>
      </x:c>
      <x:c r="G92" s="134" t="n">
        <x:v>30.9</x:v>
      </x:c>
    </x:row>
    <x:row r="93">
      <x:c r="A93" s="40" t="n">
        <x:v>89</x:v>
      </x:c>
      <x:c r="B93" s="40" t="n">
        <x:v>6</x:v>
      </x:c>
      <x:c r="C93" s="40" t="n">
        <x:v>4</x:v>
      </x:c>
      <x:c r="D93" s="36" t="str">
        <x:v>direita → esquerda</x:v>
      </x:c>
      <x:c r="E93" s="41" t="n">
        <x:v>2.45</x:v>
      </x:c>
      <x:c r="F93" s="41" t="n">
        <x:v>-0.75</x:v>
      </x:c>
      <x:c r="G93" s="134" t="n">
        <x:v>28.5</x:v>
      </x:c>
    </x:row>
    <x:row r="94">
      <x:c r="A94" s="40" t="n">
        <x:v>90</x:v>
      </x:c>
      <x:c r="B94" s="40" t="n">
        <x:v>6</x:v>
      </x:c>
      <x:c r="C94" s="40" t="n">
        <x:v>5</x:v>
      </x:c>
      <x:c r="D94" s="36" t="str">
        <x:v>direita → esquerda</x:v>
      </x:c>
      <x:c r="E94" s="41" t="n">
        <x:v>2.2</x:v>
      </x:c>
      <x:c r="F94" s="41" t="n">
        <x:v>-0.75</x:v>
      </x:c>
      <x:c r="G94" s="134" t="n">
        <x:v>29.5</x:v>
      </x:c>
    </x:row>
    <x:row r="95">
      <x:c r="A95" s="40" t="n">
        <x:v>91</x:v>
      </x:c>
      <x:c r="B95" s="40" t="n">
        <x:v>6</x:v>
      </x:c>
      <x:c r="C95" s="40" t="n">
        <x:v>6</x:v>
      </x:c>
      <x:c r="D95" s="36" t="str">
        <x:v>direita → esquerda</x:v>
      </x:c>
      <x:c r="E95" s="41" t="n">
        <x:v>1.95</x:v>
      </x:c>
      <x:c r="F95" s="41" t="n">
        <x:v>-0.75</x:v>
      </x:c>
      <x:c r="G95" s="134" t="n">
        <x:v>28.1</x:v>
      </x:c>
    </x:row>
    <x:row r="96">
      <x:c r="A96" s="40" t="n">
        <x:v>92</x:v>
      </x:c>
      <x:c r="B96" s="40" t="n">
        <x:v>6</x:v>
      </x:c>
      <x:c r="C96" s="40" t="n">
        <x:v>7</x:v>
      </x:c>
      <x:c r="D96" s="36" t="str">
        <x:v>direita → esquerda</x:v>
      </x:c>
      <x:c r="E96" s="41" t="n">
        <x:v>1.7</x:v>
      </x:c>
      <x:c r="F96" s="41" t="n">
        <x:v>-0.75</x:v>
      </x:c>
      <x:c r="G96" s="134" t="n">
        <x:v>23.8</x:v>
      </x:c>
    </x:row>
    <x:row r="97">
      <x:c r="A97" s="40" t="n">
        <x:v>93</x:v>
      </x:c>
      <x:c r="B97" s="40" t="n">
        <x:v>6</x:v>
      </x:c>
      <x:c r="C97" s="40" t="n">
        <x:v>8</x:v>
      </x:c>
      <x:c r="D97" s="36" t="str">
        <x:v>direita → esquerda</x:v>
      </x:c>
      <x:c r="E97" s="41" t="n">
        <x:v>1.45</x:v>
      </x:c>
      <x:c r="F97" s="41" t="n">
        <x:v>-0.75</x:v>
      </x:c>
      <x:c r="G97" s="134" t="n">
        <x:v>23.6</x:v>
      </x:c>
    </x:row>
    <x:row r="98">
      <x:c r="A98" s="40" t="n">
        <x:v>94</x:v>
      </x:c>
      <x:c r="B98" s="40" t="n">
        <x:v>6</x:v>
      </x:c>
      <x:c r="C98" s="40" t="n">
        <x:v>9</x:v>
      </x:c>
      <x:c r="D98" s="36" t="str">
        <x:v>direita → esquerda</x:v>
      </x:c>
      <x:c r="E98" s="41" t="n">
        <x:v>1.2</x:v>
      </x:c>
      <x:c r="F98" s="41" t="n">
        <x:v>-0.75</x:v>
      </x:c>
      <x:c r="G98" s="134" t="n">
        <x:v>24.1</x:v>
      </x:c>
    </x:row>
    <x:row r="99">
      <x:c r="A99" s="40" t="n">
        <x:v>95</x:v>
      </x:c>
      <x:c r="B99" s="40" t="n">
        <x:v>6</x:v>
      </x:c>
      <x:c r="C99" s="40" t="n">
        <x:v>10</x:v>
      </x:c>
      <x:c r="D99" s="36" t="str">
        <x:v>direita → esquerda</x:v>
      </x:c>
      <x:c r="E99" s="41" t="n">
        <x:v>0.95</x:v>
      </x:c>
      <x:c r="F99" s="41" t="n">
        <x:v>-0.75</x:v>
      </x:c>
      <x:c r="G99" s="134" t="n">
        <x:v>26.2</x:v>
      </x:c>
    </x:row>
    <x:row r="100">
      <x:c r="A100" s="40" t="n">
        <x:v>96</x:v>
      </x:c>
      <x:c r="B100" s="40" t="n">
        <x:v>6</x:v>
      </x:c>
      <x:c r="C100" s="40" t="n">
        <x:v>11</x:v>
      </x:c>
      <x:c r="D100" s="36" t="str">
        <x:v>direita → esquerda</x:v>
      </x:c>
      <x:c r="E100" s="41" t="n">
        <x:v>0.7</x:v>
      </x:c>
      <x:c r="F100" s="41" t="n">
        <x:v>-0.75</x:v>
      </x:c>
      <x:c r="G100" s="134" t="n">
        <x:v>29.3</x:v>
      </x:c>
    </x:row>
    <x:row r="101">
      <x:c r="A101" s="40" t="n">
        <x:v>97</x:v>
      </x:c>
      <x:c r="B101" s="40" t="n">
        <x:v>6</x:v>
      </x:c>
      <x:c r="C101" s="40" t="n">
        <x:v>12</x:v>
      </x:c>
      <x:c r="D101" s="36" t="str">
        <x:v>direita → esquerda</x:v>
      </x:c>
      <x:c r="E101" s="41" t="n">
        <x:v>0.44999999999999996</x:v>
      </x:c>
      <x:c r="F101" s="41" t="n">
        <x:v>-0.75</x:v>
      </x:c>
      <x:c r="G101" s="134" t="n">
        <x:v>26.9</x:v>
      </x:c>
    </x:row>
    <x:row r="102">
      <x:c r="A102" s="40" t="n">
        <x:v>98</x:v>
      </x:c>
      <x:c r="B102" s="40" t="n">
        <x:v>6</x:v>
      </x:c>
      <x:c r="C102" s="40" t="n">
        <x:v>13</x:v>
      </x:c>
      <x:c r="D102" s="36" t="str">
        <x:v>direita → esquerda</x:v>
      </x:c>
      <x:c r="E102" s="41" t="n">
        <x:v>0.19999999999999996</x:v>
      </x:c>
      <x:c r="F102" s="41" t="n">
        <x:v>-0.75</x:v>
      </x:c>
      <x:c r="G102" s="134" t="n">
        <x:v>29</x:v>
      </x:c>
    </x:row>
    <x:row r="103">
      <x:c r="A103" s="40" t="n">
        <x:v>99</x:v>
      </x:c>
      <x:c r="B103" s="40" t="n">
        <x:v>6</x:v>
      </x:c>
      <x:c r="C103" s="40" t="n">
        <x:v>14</x:v>
      </x:c>
      <x:c r="D103" s="36" t="str">
        <x:v>direita → esquerda</x:v>
      </x:c>
      <x:c r="E103" s="41" t="n">
        <x:v>-0.050000000000000044</x:v>
      </x:c>
      <x:c r="F103" s="41" t="n">
        <x:v>-0.75</x:v>
      </x:c>
      <x:c r="G103" s="134" t="n">
        <x:v>28.4</x:v>
      </x:c>
    </x:row>
    <x:row r="104">
      <x:c r="A104" s="40" t="n">
        <x:v>100</x:v>
      </x:c>
      <x:c r="B104" s="40" t="n">
        <x:v>6</x:v>
      </x:c>
      <x:c r="C104" s="40" t="n">
        <x:v>15</x:v>
      </x:c>
      <x:c r="D104" s="36" t="str">
        <x:v>direita → esquerda</x:v>
      </x:c>
      <x:c r="E104" s="41" t="n">
        <x:v>-0.30000000000000004</x:v>
      </x:c>
      <x:c r="F104" s="41" t="n">
        <x:v>-0.75</x:v>
      </x:c>
      <x:c r="G104" s="134" t="n">
        <x:v>29.8</x:v>
      </x:c>
    </x:row>
    <x:row r="105">
      <x:c r="A105" s="40" t="n">
        <x:v>101</x:v>
      </x:c>
      <x:c r="B105" s="40" t="n">
        <x:v>6</x:v>
      </x:c>
      <x:c r="C105" s="40" t="n">
        <x:v>16</x:v>
      </x:c>
      <x:c r="D105" s="36" t="str">
        <x:v>direita → esquerda</x:v>
      </x:c>
      <x:c r="E105" s="41" t="n">
        <x:v>-0.55</x:v>
      </x:c>
      <x:c r="F105" s="41" t="n">
        <x:v>-0.75</x:v>
      </x:c>
      <x:c r="G105" s="134" t="n">
        <x:v>29.5</x:v>
      </x:c>
    </x:row>
    <x:row r="106">
      <x:c r="A106" s="40" t="n">
        <x:v>102</x:v>
      </x:c>
      <x:c r="B106" s="40" t="n">
        <x:v>6</x:v>
      </x:c>
      <x:c r="C106" s="40" t="n">
        <x:v>17</x:v>
      </x:c>
      <x:c r="D106" s="36" t="str">
        <x:v>direita → esquerda</x:v>
      </x:c>
      <x:c r="E106" s="41" t="n">
        <x:v>-0.8</x:v>
      </x:c>
      <x:c r="F106" s="41" t="n">
        <x:v>-0.75</x:v>
      </x:c>
      <x:c r="G106" s="134" t="n">
        <x:v>33.8</x:v>
      </x:c>
    </x:row>
    <x:row r="107">
      <x:c r="A107" s="40" t="n">
        <x:v>103</x:v>
      </x:c>
      <x:c r="B107" s="40" t="n">
        <x:v>7</x:v>
      </x:c>
      <x:c r="C107" s="40" t="n">
        <x:v>1</x:v>
      </x:c>
      <x:c r="D107" s="36" t="str">
        <x:v>esquerda → direita</x:v>
      </x:c>
      <x:c r="E107" s="41" t="n">
        <x:v>-0.8</x:v>
      </x:c>
      <x:c r="F107" s="41" t="n">
        <x:v>-0.5</x:v>
      </x:c>
      <x:c r="G107" s="134" t="n">
        <x:v>35</x:v>
      </x:c>
    </x:row>
    <x:row r="108">
      <x:c r="A108" s="40" t="n">
        <x:v>104</x:v>
      </x:c>
      <x:c r="B108" s="40" t="n">
        <x:v>7</x:v>
      </x:c>
      <x:c r="C108" s="40" t="n">
        <x:v>2</x:v>
      </x:c>
      <x:c r="D108" s="36" t="str">
        <x:v>esquerda → direita</x:v>
      </x:c>
      <x:c r="E108" s="41" t="n">
        <x:v>-0.55</x:v>
      </x:c>
      <x:c r="F108" s="41" t="n">
        <x:v>-0.5</x:v>
      </x:c>
      <x:c r="G108" s="134" t="n">
        <x:v>31.5</x:v>
      </x:c>
    </x:row>
    <x:row r="109">
      <x:c r="A109" s="40" t="n">
        <x:v>105</x:v>
      </x:c>
      <x:c r="B109" s="40" t="n">
        <x:v>7</x:v>
      </x:c>
      <x:c r="C109" s="40" t="n">
        <x:v>3</x:v>
      </x:c>
      <x:c r="D109" s="36" t="str">
        <x:v>esquerda → direita</x:v>
      </x:c>
      <x:c r="E109" s="41" t="n">
        <x:v>-0.30000000000000004</x:v>
      </x:c>
      <x:c r="F109" s="41" t="n">
        <x:v>-0.5</x:v>
      </x:c>
      <x:c r="G109" s="134" t="n">
        <x:v>32.4</x:v>
      </x:c>
    </x:row>
    <x:row r="110">
      <x:c r="A110" s="40" t="n">
        <x:v>106</x:v>
      </x:c>
      <x:c r="B110" s="40" t="n">
        <x:v>7</x:v>
      </x:c>
      <x:c r="C110" s="40" t="n">
        <x:v>4</x:v>
      </x:c>
      <x:c r="D110" s="36" t="str">
        <x:v>esquerda → direita</x:v>
      </x:c>
      <x:c r="E110" s="41" t="n">
        <x:v>-0.050000000000000044</x:v>
      </x:c>
      <x:c r="F110" s="41" t="n">
        <x:v>-0.5</x:v>
      </x:c>
      <x:c r="G110" s="134" t="n">
        <x:v>28.4</x:v>
      </x:c>
    </x:row>
    <x:row r="111">
      <x:c r="A111" s="40" t="n">
        <x:v>107</x:v>
      </x:c>
      <x:c r="B111" s="40" t="n">
        <x:v>7</x:v>
      </x:c>
      <x:c r="C111" s="40" t="n">
        <x:v>5</x:v>
      </x:c>
      <x:c r="D111" s="36" t="str">
        <x:v>esquerda → direita</x:v>
      </x:c>
      <x:c r="E111" s="41" t="n">
        <x:v>0.19999999999999996</x:v>
      </x:c>
      <x:c r="F111" s="41" t="n">
        <x:v>-0.5</x:v>
      </x:c>
      <x:c r="G111" s="134" t="n">
        <x:v>25.9</x:v>
      </x:c>
    </x:row>
    <x:row r="112">
      <x:c r="A112" s="40" t="n">
        <x:v>108</x:v>
      </x:c>
      <x:c r="B112" s="40" t="n">
        <x:v>7</x:v>
      </x:c>
      <x:c r="C112" s="40" t="n">
        <x:v>6</x:v>
      </x:c>
      <x:c r="D112" s="36" t="str">
        <x:v>esquerda → direita</x:v>
      </x:c>
      <x:c r="E112" s="41" t="n">
        <x:v>0.44999999999999996</x:v>
      </x:c>
      <x:c r="F112" s="41" t="n">
        <x:v>-0.5</x:v>
      </x:c>
      <x:c r="G112" s="134" t="n">
        <x:v>24.8</x:v>
      </x:c>
    </x:row>
    <x:row r="113">
      <x:c r="A113" s="40" t="n">
        <x:v>109</x:v>
      </x:c>
      <x:c r="B113" s="40" t="n">
        <x:v>7</x:v>
      </x:c>
      <x:c r="C113" s="40" t="n">
        <x:v>7</x:v>
      </x:c>
      <x:c r="D113" s="36" t="str">
        <x:v>esquerda → direita</x:v>
      </x:c>
      <x:c r="E113" s="41" t="n">
        <x:v>0.7</x:v>
      </x:c>
      <x:c r="F113" s="41" t="n">
        <x:v>-0.5</x:v>
      </x:c>
      <x:c r="G113" s="134" t="n">
        <x:v>23.5</x:v>
      </x:c>
    </x:row>
    <x:row r="114">
      <x:c r="A114" s="40" t="n">
        <x:v>110</x:v>
      </x:c>
      <x:c r="B114" s="40" t="n">
        <x:v>7</x:v>
      </x:c>
      <x:c r="C114" s="40" t="n">
        <x:v>8</x:v>
      </x:c>
      <x:c r="D114" s="36" t="str">
        <x:v>esquerda → direita</x:v>
      </x:c>
      <x:c r="E114" s="41" t="n">
        <x:v>0.95</x:v>
      </x:c>
      <x:c r="F114" s="41" t="n">
        <x:v>-0.5</x:v>
      </x:c>
      <x:c r="G114" s="134" t="n">
        <x:v>23.6</x:v>
      </x:c>
    </x:row>
    <x:row r="115">
      <x:c r="A115" s="40" t="n">
        <x:v>111</x:v>
      </x:c>
      <x:c r="B115" s="40" t="n">
        <x:v>7</x:v>
      </x:c>
      <x:c r="C115" s="40" t="n">
        <x:v>9</x:v>
      </x:c>
      <x:c r="D115" s="36" t="str">
        <x:v>esquerda → direita</x:v>
      </x:c>
      <x:c r="E115" s="41" t="n">
        <x:v>1.2</x:v>
      </x:c>
      <x:c r="F115" s="41" t="n">
        <x:v>-0.5</x:v>
      </x:c>
      <x:c r="G115" s="134" t="n">
        <x:v>21.2</x:v>
      </x:c>
    </x:row>
    <x:row r="116">
      <x:c r="A116" s="40" t="n">
        <x:v>112</x:v>
      </x:c>
      <x:c r="B116" s="40" t="n">
        <x:v>7</x:v>
      </x:c>
      <x:c r="C116" s="40" t="n">
        <x:v>10</x:v>
      </x:c>
      <x:c r="D116" s="36" t="str">
        <x:v>esquerda → direita</x:v>
      </x:c>
      <x:c r="E116" s="41" t="n">
        <x:v>1.45</x:v>
      </x:c>
      <x:c r="F116" s="41" t="n">
        <x:v>-0.5</x:v>
      </x:c>
      <x:c r="G116" s="134" t="n">
        <x:v>19.8</x:v>
      </x:c>
    </x:row>
    <x:row r="117">
      <x:c r="A117" s="40" t="n">
        <x:v>113</x:v>
      </x:c>
      <x:c r="B117" s="40" t="n">
        <x:v>7</x:v>
      </x:c>
      <x:c r="C117" s="40" t="n">
        <x:v>11</x:v>
      </x:c>
      <x:c r="D117" s="36" t="str">
        <x:v>esquerda → direita</x:v>
      </x:c>
      <x:c r="E117" s="41" t="n">
        <x:v>1.7</x:v>
      </x:c>
      <x:c r="F117" s="41" t="n">
        <x:v>-0.5</x:v>
      </x:c>
      <x:c r="G117" s="134" t="n">
        <x:v>23.1</x:v>
      </x:c>
    </x:row>
    <x:row r="118">
      <x:c r="A118" s="40" t="n">
        <x:v>114</x:v>
      </x:c>
      <x:c r="B118" s="40" t="n">
        <x:v>7</x:v>
      </x:c>
      <x:c r="C118" s="40" t="n">
        <x:v>12</x:v>
      </x:c>
      <x:c r="D118" s="36" t="str">
        <x:v>esquerda → direita</x:v>
      </x:c>
      <x:c r="E118" s="41" t="n">
        <x:v>1.95</x:v>
      </x:c>
      <x:c r="F118" s="41" t="n">
        <x:v>-0.5</x:v>
      </x:c>
      <x:c r="G118" s="134" t="n">
        <x:v>23.5</x:v>
      </x:c>
    </x:row>
    <x:row r="119">
      <x:c r="A119" s="40" t="n">
        <x:v>115</x:v>
      </x:c>
      <x:c r="B119" s="40" t="n">
        <x:v>7</x:v>
      </x:c>
      <x:c r="C119" s="40" t="n">
        <x:v>13</x:v>
      </x:c>
      <x:c r="D119" s="36" t="str">
        <x:v>esquerda → direita</x:v>
      </x:c>
      <x:c r="E119" s="41" t="n">
        <x:v>2.2</x:v>
      </x:c>
      <x:c r="F119" s="41" t="n">
        <x:v>-0.5</x:v>
      </x:c>
      <x:c r="G119" s="134" t="n">
        <x:v>25.7</x:v>
      </x:c>
    </x:row>
    <x:row r="120">
      <x:c r="A120" s="40" t="n">
        <x:v>116</x:v>
      </x:c>
      <x:c r="B120" s="40" t="n">
        <x:v>7</x:v>
      </x:c>
      <x:c r="C120" s="40" t="n">
        <x:v>14</x:v>
      </x:c>
      <x:c r="D120" s="36" t="str">
        <x:v>esquerda → direita</x:v>
      </x:c>
      <x:c r="E120" s="41" t="n">
        <x:v>2.45</x:v>
      </x:c>
      <x:c r="F120" s="41" t="n">
        <x:v>-0.5</x:v>
      </x:c>
      <x:c r="G120" s="134" t="n">
        <x:v>30.6</x:v>
      </x:c>
    </x:row>
    <x:row r="121">
      <x:c r="A121" s="40" t="n">
        <x:v>117</x:v>
      </x:c>
      <x:c r="B121" s="40" t="n">
        <x:v>7</x:v>
      </x:c>
      <x:c r="C121" s="40" t="n">
        <x:v>15</x:v>
      </x:c>
      <x:c r="D121" s="36" t="str">
        <x:v>esquerda → direita</x:v>
      </x:c>
      <x:c r="E121" s="41" t="n">
        <x:v>2.7</x:v>
      </x:c>
      <x:c r="F121" s="41" t="n">
        <x:v>-0.5</x:v>
      </x:c>
      <x:c r="G121" s="134" t="n">
        <x:v>28.7</x:v>
      </x:c>
    </x:row>
    <x:row r="122">
      <x:c r="A122" s="40" t="n">
        <x:v>118</x:v>
      </x:c>
      <x:c r="B122" s="40" t="n">
        <x:v>7</x:v>
      </x:c>
      <x:c r="C122" s="40" t="n">
        <x:v>16</x:v>
      </x:c>
      <x:c r="D122" s="36" t="str">
        <x:v>esquerda → direita</x:v>
      </x:c>
      <x:c r="E122" s="41" t="n">
        <x:v>2.95</x:v>
      </x:c>
      <x:c r="F122" s="41" t="n">
        <x:v>-0.5</x:v>
      </x:c>
      <x:c r="G122" s="134" t="n">
        <x:v>33.4</x:v>
      </x:c>
    </x:row>
    <x:row r="123">
      <x:c r="A123" s="40" t="n">
        <x:v>119</x:v>
      </x:c>
      <x:c r="B123" s="40" t="n">
        <x:v>7</x:v>
      </x:c>
      <x:c r="C123" s="40" t="n">
        <x:v>17</x:v>
      </x:c>
      <x:c r="D123" s="36" t="str">
        <x:v>esquerda → direita</x:v>
      </x:c>
      <x:c r="E123" s="41" t="n">
        <x:v>3.2</x:v>
      </x:c>
      <x:c r="F123" s="41" t="n">
        <x:v>-0.5</x:v>
      </x:c>
      <x:c r="G123" s="134" t="n">
        <x:v>35.2</x:v>
      </x:c>
    </x:row>
    <x:row r="124">
      <x:c r="A124" s="40" t="n">
        <x:v>120</x:v>
      </x:c>
      <x:c r="B124" s="40" t="n">
        <x:v>8</x:v>
      </x:c>
      <x:c r="C124" s="40" t="n">
        <x:v>1</x:v>
      </x:c>
      <x:c r="D124" s="36" t="str">
        <x:v>direita → esquerda</x:v>
      </x:c>
      <x:c r="E124" s="41" t="n">
        <x:v>3.2</x:v>
      </x:c>
      <x:c r="F124" s="41" t="n">
        <x:v>-0.25</x:v>
      </x:c>
      <x:c r="G124" s="134" t="n">
        <x:v>34</x:v>
      </x:c>
    </x:row>
    <x:row r="125">
      <x:c r="A125" s="40" t="n">
        <x:v>121</x:v>
      </x:c>
      <x:c r="B125" s="40" t="n">
        <x:v>8</x:v>
      </x:c>
      <x:c r="C125" s="40" t="n">
        <x:v>2</x:v>
      </x:c>
      <x:c r="D125" s="36" t="str">
        <x:v>direita → esquerda</x:v>
      </x:c>
      <x:c r="E125" s="41" t="n">
        <x:v>2.95</x:v>
      </x:c>
      <x:c r="F125" s="41" t="n">
        <x:v>-0.25</x:v>
      </x:c>
      <x:c r="G125" s="134" t="n">
        <x:v>33.3</x:v>
      </x:c>
    </x:row>
    <x:row r="126">
      <x:c r="A126" s="40" t="n">
        <x:v>122</x:v>
      </x:c>
      <x:c r="B126" s="40" t="n">
        <x:v>8</x:v>
      </x:c>
      <x:c r="C126" s="40" t="n">
        <x:v>3</x:v>
      </x:c>
      <x:c r="D126" s="36" t="str">
        <x:v>direita → esquerda</x:v>
      </x:c>
      <x:c r="E126" s="41" t="n">
        <x:v>2.7</x:v>
      </x:c>
      <x:c r="F126" s="41" t="n">
        <x:v>-0.25</x:v>
      </x:c>
      <x:c r="G126" s="134" t="n">
        <x:v>28.5</x:v>
      </x:c>
    </x:row>
    <x:row r="127">
      <x:c r="A127" s="40" t="n">
        <x:v>123</x:v>
      </x:c>
      <x:c r="B127" s="40" t="n">
        <x:v>8</x:v>
      </x:c>
      <x:c r="C127" s="40" t="n">
        <x:v>4</x:v>
      </x:c>
      <x:c r="D127" s="36" t="str">
        <x:v>direita → esquerda</x:v>
      </x:c>
      <x:c r="E127" s="41" t="n">
        <x:v>2.45</x:v>
      </x:c>
      <x:c r="F127" s="41" t="n">
        <x:v>-0.25</x:v>
      </x:c>
      <x:c r="G127" s="134" t="n">
        <x:v>24.8</x:v>
      </x:c>
    </x:row>
    <x:row r="128">
      <x:c r="A128" s="40" t="n">
        <x:v>124</x:v>
      </x:c>
      <x:c r="B128" s="40" t="n">
        <x:v>8</x:v>
      </x:c>
      <x:c r="C128" s="40" t="n">
        <x:v>5</x:v>
      </x:c>
      <x:c r="D128" s="36" t="str">
        <x:v>direita → esquerda</x:v>
      </x:c>
      <x:c r="E128" s="41" t="n">
        <x:v>2.2</x:v>
      </x:c>
      <x:c r="F128" s="41" t="n">
        <x:v>-0.25</x:v>
      </x:c>
      <x:c r="G128" s="134" t="n">
        <x:v>23.1</x:v>
      </x:c>
    </x:row>
    <x:row r="129">
      <x:c r="A129" s="40" t="n">
        <x:v>125</x:v>
      </x:c>
      <x:c r="B129" s="40" t="n">
        <x:v>8</x:v>
      </x:c>
      <x:c r="C129" s="40" t="n">
        <x:v>6</x:v>
      </x:c>
      <x:c r="D129" s="36" t="str">
        <x:v>direita → esquerda</x:v>
      </x:c>
      <x:c r="E129" s="41" t="n">
        <x:v>1.95</x:v>
      </x:c>
      <x:c r="F129" s="41" t="n">
        <x:v>-0.25</x:v>
      </x:c>
      <x:c r="G129" s="134" t="n">
        <x:v>20</x:v>
      </x:c>
    </x:row>
    <x:row r="130">
      <x:c r="A130" s="40" t="n">
        <x:v>126</x:v>
      </x:c>
      <x:c r="B130" s="40" t="n">
        <x:v>8</x:v>
      </x:c>
      <x:c r="C130" s="40" t="n">
        <x:v>7</x:v>
      </x:c>
      <x:c r="D130" s="36" t="str">
        <x:v>direita → esquerda</x:v>
      </x:c>
      <x:c r="E130" s="41" t="n">
        <x:v>1.7</x:v>
      </x:c>
      <x:c r="F130" s="41" t="n">
        <x:v>-0.25</x:v>
      </x:c>
      <x:c r="G130" s="134" t="n">
        <x:v>19</x:v>
      </x:c>
    </x:row>
    <x:row r="131">
      <x:c r="A131" s="40" t="n">
        <x:v>127</x:v>
      </x:c>
      <x:c r="B131" s="40" t="n">
        <x:v>8</x:v>
      </x:c>
      <x:c r="C131" s="40" t="n">
        <x:v>8</x:v>
      </x:c>
      <x:c r="D131" s="36" t="str">
        <x:v>direita → esquerda</x:v>
      </x:c>
      <x:c r="E131" s="41" t="n">
        <x:v>1.45</x:v>
      </x:c>
      <x:c r="F131" s="41" t="n">
        <x:v>-0.25</x:v>
      </x:c>
      <x:c r="G131" s="134" t="n">
        <x:v>17.1</x:v>
      </x:c>
    </x:row>
    <x:row r="132">
      <x:c r="A132" s="40" t="n">
        <x:v>128</x:v>
      </x:c>
      <x:c r="B132" s="40" t="n">
        <x:v>8</x:v>
      </x:c>
      <x:c r="C132" s="40" t="n">
        <x:v>9</x:v>
      </x:c>
      <x:c r="D132" s="36" t="str">
        <x:v>direita → esquerda</x:v>
      </x:c>
      <x:c r="E132" s="41" t="n">
        <x:v>1.2</x:v>
      </x:c>
      <x:c r="F132" s="41" t="n">
        <x:v>-0.25</x:v>
      </x:c>
      <x:c r="G132" s="134" t="n">
        <x:v>18</x:v>
      </x:c>
    </x:row>
    <x:row r="133">
      <x:c r="A133" s="40" t="n">
        <x:v>129</x:v>
      </x:c>
      <x:c r="B133" s="40" t="n">
        <x:v>8</x:v>
      </x:c>
      <x:c r="C133" s="40" t="n">
        <x:v>10</x:v>
      </x:c>
      <x:c r="D133" s="36" t="str">
        <x:v>direita → esquerda</x:v>
      </x:c>
      <x:c r="E133" s="41" t="n">
        <x:v>0.95</x:v>
      </x:c>
      <x:c r="F133" s="41" t="n">
        <x:v>-0.25</x:v>
      </x:c>
      <x:c r="G133" s="134" t="n">
        <x:v>16.7</x:v>
      </x:c>
    </x:row>
    <x:row r="134">
      <x:c r="A134" s="40" t="n">
        <x:v>130</x:v>
      </x:c>
      <x:c r="B134" s="40" t="n">
        <x:v>8</x:v>
      </x:c>
      <x:c r="C134" s="40" t="n">
        <x:v>11</x:v>
      </x:c>
      <x:c r="D134" s="36" t="str">
        <x:v>direita → esquerda</x:v>
      </x:c>
      <x:c r="E134" s="41" t="n">
        <x:v>0.7</x:v>
      </x:c>
      <x:c r="F134" s="41" t="n">
        <x:v>-0.25</x:v>
      </x:c>
      <x:c r="G134" s="134" t="n">
        <x:v>16.8</x:v>
      </x:c>
    </x:row>
    <x:row r="135">
      <x:c r="A135" s="40" t="n">
        <x:v>131</x:v>
      </x:c>
      <x:c r="B135" s="40" t="n">
        <x:v>8</x:v>
      </x:c>
      <x:c r="C135" s="40" t="n">
        <x:v>12</x:v>
      </x:c>
      <x:c r="D135" s="36" t="str">
        <x:v>direita → esquerda</x:v>
      </x:c>
      <x:c r="E135" s="41" t="n">
        <x:v>0.44999999999999996</x:v>
      </x:c>
      <x:c r="F135" s="41" t="n">
        <x:v>-0.25</x:v>
      </x:c>
      <x:c r="G135" s="134" t="n">
        <x:v>17.3</x:v>
      </x:c>
    </x:row>
    <x:row r="136">
      <x:c r="A136" s="40" t="n">
        <x:v>132</x:v>
      </x:c>
      <x:c r="B136" s="40" t="n">
        <x:v>8</x:v>
      </x:c>
      <x:c r="C136" s="40" t="n">
        <x:v>13</x:v>
      </x:c>
      <x:c r="D136" s="36" t="str">
        <x:v>direita → esquerda</x:v>
      </x:c>
      <x:c r="E136" s="41" t="n">
        <x:v>0.19999999999999996</x:v>
      </x:c>
      <x:c r="F136" s="41" t="n">
        <x:v>-0.25</x:v>
      </x:c>
      <x:c r="G136" s="134" t="n">
        <x:v>20.7</x:v>
      </x:c>
    </x:row>
    <x:row r="137">
      <x:c r="A137" s="40" t="n">
        <x:v>133</x:v>
      </x:c>
      <x:c r="B137" s="40" t="n">
        <x:v>8</x:v>
      </x:c>
      <x:c r="C137" s="40" t="n">
        <x:v>14</x:v>
      </x:c>
      <x:c r="D137" s="36" t="str">
        <x:v>direita → esquerda</x:v>
      </x:c>
      <x:c r="E137" s="41" t="n">
        <x:v>-0.050000000000000044</x:v>
      </x:c>
      <x:c r="F137" s="41" t="n">
        <x:v>-0.25</x:v>
      </x:c>
      <x:c r="G137" s="134" t="n">
        <x:v>26.7</x:v>
      </x:c>
    </x:row>
    <x:row r="138">
      <x:c r="A138" s="40" t="n">
        <x:v>134</x:v>
      </x:c>
      <x:c r="B138" s="40" t="n">
        <x:v>8</x:v>
      </x:c>
      <x:c r="C138" s="40" t="n">
        <x:v>15</x:v>
      </x:c>
      <x:c r="D138" s="36" t="str">
        <x:v>direita → esquerda</x:v>
      </x:c>
      <x:c r="E138" s="41" t="n">
        <x:v>-0.30000000000000004</x:v>
      </x:c>
      <x:c r="F138" s="41" t="n">
        <x:v>-0.25</x:v>
      </x:c>
      <x:c r="G138" s="134" t="n">
        <x:v>26.9</x:v>
      </x:c>
    </x:row>
    <x:row r="139">
      <x:c r="A139" s="40" t="n">
        <x:v>135</x:v>
      </x:c>
      <x:c r="B139" s="40" t="n">
        <x:v>8</x:v>
      </x:c>
      <x:c r="C139" s="40" t="n">
        <x:v>16</x:v>
      </x:c>
      <x:c r="D139" s="36" t="str">
        <x:v>direita → esquerda</x:v>
      </x:c>
      <x:c r="E139" s="41" t="n">
        <x:v>-0.55</x:v>
      </x:c>
      <x:c r="F139" s="41" t="n">
        <x:v>-0.25</x:v>
      </x:c>
      <x:c r="G139" s="134" t="n">
        <x:v>30.7</x:v>
      </x:c>
    </x:row>
    <x:row r="140">
      <x:c r="A140" s="40" t="n">
        <x:v>136</x:v>
      </x:c>
      <x:c r="B140" s="40" t="n">
        <x:v>8</x:v>
      </x:c>
      <x:c r="C140" s="40" t="n">
        <x:v>17</x:v>
      </x:c>
      <x:c r="D140" s="36" t="str">
        <x:v>direita → esquerda</x:v>
      </x:c>
      <x:c r="E140" s="41" t="n">
        <x:v>-0.8</x:v>
      </x:c>
      <x:c r="F140" s="41" t="n">
        <x:v>-0.25</x:v>
      </x:c>
      <x:c r="G140" s="134" t="n">
        <x:v>36.6</x:v>
      </x:c>
    </x:row>
    <x:row r="141">
      <x:c r="A141" s="40" t="n">
        <x:v>137</x:v>
      </x:c>
      <x:c r="B141" s="40" t="n">
        <x:v>9</x:v>
      </x:c>
      <x:c r="C141" s="40" t="n">
        <x:v>1</x:v>
      </x:c>
      <x:c r="D141" s="36" t="str">
        <x:v>esquerda → direita</x:v>
      </x:c>
      <x:c r="E141" s="41" t="n">
        <x:v>-0.8</x:v>
      </x:c>
      <x:c r="F141" s="41" t="n">
        <x:v>0</x:v>
      </x:c>
      <x:c r="G141" s="134" t="n">
        <x:v>34.3</x:v>
      </x:c>
    </x:row>
    <x:row r="142">
      <x:c r="A142" s="40" t="n">
        <x:v>138</x:v>
      </x:c>
      <x:c r="B142" s="40" t="n">
        <x:v>9</x:v>
      </x:c>
      <x:c r="C142" s="40" t="n">
        <x:v>2</x:v>
      </x:c>
      <x:c r="D142" s="36" t="str">
        <x:v>esquerda → direita</x:v>
      </x:c>
      <x:c r="E142" s="41" t="n">
        <x:v>-0.55</x:v>
      </x:c>
      <x:c r="F142" s="41" t="n">
        <x:v>0</x:v>
      </x:c>
      <x:c r="G142" s="134" t="n">
        <x:v>34</x:v>
      </x:c>
    </x:row>
    <x:row r="143">
      <x:c r="A143" s="40" t="n">
        <x:v>139</x:v>
      </x:c>
      <x:c r="B143" s="40" t="n">
        <x:v>9</x:v>
      </x:c>
      <x:c r="C143" s="40" t="n">
        <x:v>3</x:v>
      </x:c>
      <x:c r="D143" s="36" t="str">
        <x:v>esquerda → direita</x:v>
      </x:c>
      <x:c r="E143" s="41" t="n">
        <x:v>-0.30000000000000004</x:v>
      </x:c>
      <x:c r="F143" s="41" t="n">
        <x:v>0</x:v>
      </x:c>
      <x:c r="G143" s="134" t="n">
        <x:v>26.9</x:v>
      </x:c>
    </x:row>
    <x:row r="144">
      <x:c r="A144" s="40" t="n">
        <x:v>140</x:v>
      </x:c>
      <x:c r="B144" s="40" t="n">
        <x:v>9</x:v>
      </x:c>
      <x:c r="C144" s="40" t="n">
        <x:v>4</x:v>
      </x:c>
      <x:c r="D144" s="36" t="str">
        <x:v>esquerda → direita</x:v>
      </x:c>
      <x:c r="E144" s="41" t="n">
        <x:v>-0.050000000000000044</x:v>
      </x:c>
      <x:c r="F144" s="41" t="n">
        <x:v>0</x:v>
      </x:c>
      <x:c r="G144" s="134" t="n">
        <x:v>20.8</x:v>
      </x:c>
    </x:row>
    <x:row r="145">
      <x:c r="A145" s="40" t="n">
        <x:v>141</x:v>
      </x:c>
      <x:c r="B145" s="40" t="n">
        <x:v>9</x:v>
      </x:c>
      <x:c r="C145" s="40" t="n">
        <x:v>5</x:v>
      </x:c>
      <x:c r="D145" s="36" t="str">
        <x:v>esquerda → direita</x:v>
      </x:c>
      <x:c r="E145" s="41" t="n">
        <x:v>0.19999999999999996</x:v>
      </x:c>
      <x:c r="F145" s="41" t="n">
        <x:v>0</x:v>
      </x:c>
      <x:c r="G145" s="134" t="n">
        <x:v>20.1</x:v>
      </x:c>
    </x:row>
    <x:row r="146">
      <x:c r="A146" s="40" t="n">
        <x:v>142</x:v>
      </x:c>
      <x:c r="B146" s="40" t="n">
        <x:v>9</x:v>
      </x:c>
      <x:c r="C146" s="40" t="n">
        <x:v>6</x:v>
      </x:c>
      <x:c r="D146" s="36" t="str">
        <x:v>esquerda → direita</x:v>
      </x:c>
      <x:c r="E146" s="41" t="n">
        <x:v>0.44999999999999996</x:v>
      </x:c>
      <x:c r="F146" s="41" t="n">
        <x:v>0</x:v>
      </x:c>
      <x:c r="G146" s="134" t="n">
        <x:v>14.4</x:v>
      </x:c>
    </x:row>
    <x:row r="147">
      <x:c r="A147" s="40" t="n">
        <x:v>143</x:v>
      </x:c>
      <x:c r="B147" s="40" t="n">
        <x:v>9</x:v>
      </x:c>
      <x:c r="C147" s="40" t="n">
        <x:v>7</x:v>
      </x:c>
      <x:c r="D147" s="36" t="str">
        <x:v>esquerda → direita</x:v>
      </x:c>
      <x:c r="E147" s="41" t="n">
        <x:v>0.7</x:v>
      </x:c>
      <x:c r="F147" s="41" t="n">
        <x:v>0</x:v>
      </x:c>
      <x:c r="G147" s="134" t="n">
        <x:v>13.8</x:v>
      </x:c>
    </x:row>
    <x:row r="148">
      <x:c r="A148" s="40" t="n">
        <x:v>144</x:v>
      </x:c>
      <x:c r="B148" s="40" t="n">
        <x:v>9</x:v>
      </x:c>
      <x:c r="C148" s="40" t="n">
        <x:v>8</x:v>
      </x:c>
      <x:c r="D148" s="36" t="str">
        <x:v>esquerda → direita</x:v>
      </x:c>
      <x:c r="E148" s="41" t="n">
        <x:v>0.95</x:v>
      </x:c>
      <x:c r="F148" s="41" t="n">
        <x:v>0</x:v>
      </x:c>
      <x:c r="G148" s="134" t="n">
        <x:v>13</x:v>
      </x:c>
    </x:row>
    <x:row r="149">
      <x:c r="A149" s="40" t="n">
        <x:v>145</x:v>
      </x:c>
      <x:c r="B149" s="40" t="n">
        <x:v>9</x:v>
      </x:c>
      <x:c r="C149" s="40" t="n">
        <x:v>9</x:v>
      </x:c>
      <x:c r="D149" s="36" t="str">
        <x:v>esquerda → direita</x:v>
      </x:c>
      <x:c r="E149" s="41" t="n">
        <x:v>1.2</x:v>
      </x:c>
      <x:c r="F149" s="41" t="n">
        <x:v>0</x:v>
      </x:c>
      <x:c r="G149" s="134" t="n">
        <x:v>11.9</x:v>
      </x:c>
    </x:row>
    <x:row r="150">
      <x:c r="A150" s="40" t="n">
        <x:v>146</x:v>
      </x:c>
      <x:c r="B150" s="40" t="n">
        <x:v>9</x:v>
      </x:c>
      <x:c r="C150" s="40" t="n">
        <x:v>10</x:v>
      </x:c>
      <x:c r="D150" s="36" t="str">
        <x:v>esquerda → direita</x:v>
      </x:c>
      <x:c r="E150" s="41" t="n">
        <x:v>1.45</x:v>
      </x:c>
      <x:c r="F150" s="41" t="n">
        <x:v>0</x:v>
      </x:c>
      <x:c r="G150" s="134" t="n">
        <x:v>13.8</x:v>
      </x:c>
    </x:row>
    <x:row r="151">
      <x:c r="A151" s="40" t="n">
        <x:v>147</x:v>
      </x:c>
      <x:c r="B151" s="40" t="n">
        <x:v>9</x:v>
      </x:c>
      <x:c r="C151" s="40" t="n">
        <x:v>11</x:v>
      </x:c>
      <x:c r="D151" s="36" t="str">
        <x:v>esquerda → direita</x:v>
      </x:c>
      <x:c r="E151" s="41" t="n">
        <x:v>1.7</x:v>
      </x:c>
      <x:c r="F151" s="41" t="n">
        <x:v>0</x:v>
      </x:c>
      <x:c r="G151" s="134" t="n">
        <x:v>14.8</x:v>
      </x:c>
    </x:row>
    <x:row r="152">
      <x:c r="A152" s="40" t="n">
        <x:v>148</x:v>
      </x:c>
      <x:c r="B152" s="40" t="n">
        <x:v>9</x:v>
      </x:c>
      <x:c r="C152" s="40" t="n">
        <x:v>12</x:v>
      </x:c>
      <x:c r="D152" s="36" t="str">
        <x:v>esquerda → direita</x:v>
      </x:c>
      <x:c r="E152" s="41" t="n">
        <x:v>1.95</x:v>
      </x:c>
      <x:c r="F152" s="41" t="n">
        <x:v>0</x:v>
      </x:c>
      <x:c r="G152" s="134" t="n">
        <x:v>15.8</x:v>
      </x:c>
    </x:row>
    <x:row r="153">
      <x:c r="A153" s="40" t="n">
        <x:v>149</x:v>
      </x:c>
      <x:c r="B153" s="40" t="n">
        <x:v>9</x:v>
      </x:c>
      <x:c r="C153" s="40" t="n">
        <x:v>13</x:v>
      </x:c>
      <x:c r="D153" s="36" t="str">
        <x:v>esquerda → direita</x:v>
      </x:c>
      <x:c r="E153" s="41" t="n">
        <x:v>2.2</x:v>
      </x:c>
      <x:c r="F153" s="41" t="n">
        <x:v>0</x:v>
      </x:c>
      <x:c r="G153" s="134" t="n">
        <x:v>18.6</x:v>
      </x:c>
    </x:row>
    <x:row r="154">
      <x:c r="A154" s="40" t="n">
        <x:v>150</x:v>
      </x:c>
      <x:c r="B154" s="40" t="n">
        <x:v>9</x:v>
      </x:c>
      <x:c r="C154" s="40" t="n">
        <x:v>14</x:v>
      </x:c>
      <x:c r="D154" s="36" t="str">
        <x:v>esquerda → direita</x:v>
      </x:c>
      <x:c r="E154" s="41" t="n">
        <x:v>2.45</x:v>
      </x:c>
      <x:c r="F154" s="41" t="n">
        <x:v>0</x:v>
      </x:c>
      <x:c r="G154" s="134" t="n">
        <x:v>23.9</x:v>
      </x:c>
    </x:row>
    <x:row r="155">
      <x:c r="A155" s="40" t="n">
        <x:v>151</x:v>
      </x:c>
      <x:c r="B155" s="40" t="n">
        <x:v>9</x:v>
      </x:c>
      <x:c r="C155" s="40" t="n">
        <x:v>15</x:v>
      </x:c>
      <x:c r="D155" s="36" t="str">
        <x:v>esquerda → direita</x:v>
      </x:c>
      <x:c r="E155" s="41" t="n">
        <x:v>2.7</x:v>
      </x:c>
      <x:c r="F155" s="41" t="n">
        <x:v>0</x:v>
      </x:c>
      <x:c r="G155" s="134" t="n">
        <x:v>26.6</x:v>
      </x:c>
    </x:row>
    <x:row r="156">
      <x:c r="A156" s="40" t="n">
        <x:v>152</x:v>
      </x:c>
      <x:c r="B156" s="40" t="n">
        <x:v>9</x:v>
      </x:c>
      <x:c r="C156" s="40" t="n">
        <x:v>16</x:v>
      </x:c>
      <x:c r="D156" s="36" t="str">
        <x:v>esquerda → direita</x:v>
      </x:c>
      <x:c r="E156" s="41" t="n">
        <x:v>2.95</x:v>
      </x:c>
      <x:c r="F156" s="41" t="n">
        <x:v>0</x:v>
      </x:c>
      <x:c r="G156" s="134" t="n">
        <x:v>30.5</x:v>
      </x:c>
    </x:row>
    <x:row r="157">
      <x:c r="A157" s="40" t="n">
        <x:v>153</x:v>
      </x:c>
      <x:c r="B157" s="40" t="n">
        <x:v>9</x:v>
      </x:c>
      <x:c r="C157" s="40" t="n">
        <x:v>17</x:v>
      </x:c>
      <x:c r="D157" s="36" t="str">
        <x:v>esquerda → direita</x:v>
      </x:c>
      <x:c r="E157" s="41" t="n">
        <x:v>3.2</x:v>
      </x:c>
      <x:c r="F157" s="41" t="n">
        <x:v>0</x:v>
      </x:c>
      <x:c r="G157" s="134" t="n">
        <x:v>32.5</x:v>
      </x:c>
    </x:row>
    <x:row r="158">
      <x:c r="A158" s="40" t="n">
        <x:v>154</x:v>
      </x:c>
      <x:c r="B158" s="40" t="n">
        <x:v>10</x:v>
      </x:c>
      <x:c r="C158" s="40" t="n">
        <x:v>1</x:v>
      </x:c>
      <x:c r="D158" s="36" t="str">
        <x:v>direita → esquerda</x:v>
      </x:c>
      <x:c r="E158" s="41" t="n">
        <x:v>3.2</x:v>
      </x:c>
      <x:c r="F158" s="41" t="n">
        <x:v>0.25</x:v>
      </x:c>
      <x:c r="G158" s="134" t="n">
        <x:v>31.3</x:v>
      </x:c>
    </x:row>
    <x:row r="159">
      <x:c r="A159" s="40" t="n">
        <x:v>155</x:v>
      </x:c>
      <x:c r="B159" s="40" t="n">
        <x:v>10</x:v>
      </x:c>
      <x:c r="C159" s="40" t="n">
        <x:v>2</x:v>
      </x:c>
      <x:c r="D159" s="36" t="str">
        <x:v>direita → esquerda</x:v>
      </x:c>
      <x:c r="E159" s="41" t="n">
        <x:v>2.95</x:v>
      </x:c>
      <x:c r="F159" s="41" t="n">
        <x:v>0.25</x:v>
      </x:c>
      <x:c r="G159" s="134" t="n">
        <x:v>32.4</x:v>
      </x:c>
    </x:row>
    <x:row r="160">
      <x:c r="A160" s="40" t="n">
        <x:v>156</x:v>
      </x:c>
      <x:c r="B160" s="40" t="n">
        <x:v>10</x:v>
      </x:c>
      <x:c r="C160" s="40" t="n">
        <x:v>3</x:v>
      </x:c>
      <x:c r="D160" s="36" t="str">
        <x:v>direita → esquerda</x:v>
      </x:c>
      <x:c r="E160" s="41" t="n">
        <x:v>2.7</x:v>
      </x:c>
      <x:c r="F160" s="41" t="n">
        <x:v>0.25</x:v>
      </x:c>
      <x:c r="G160" s="134" t="n">
        <x:v>26.6</x:v>
      </x:c>
    </x:row>
    <x:row r="161">
      <x:c r="A161" s="40" t="n">
        <x:v>157</x:v>
      </x:c>
      <x:c r="B161" s="40" t="n">
        <x:v>10</x:v>
      </x:c>
      <x:c r="C161" s="40" t="n">
        <x:v>4</x:v>
      </x:c>
      <x:c r="D161" s="36" t="str">
        <x:v>direita → esquerda</x:v>
      </x:c>
      <x:c r="E161" s="41" t="n">
        <x:v>2.45</x:v>
      </x:c>
      <x:c r="F161" s="41" t="n">
        <x:v>0.25</x:v>
      </x:c>
      <x:c r="G161" s="134" t="n">
        <x:v>24.7</x:v>
      </x:c>
    </x:row>
    <x:row r="162">
      <x:c r="A162" s="40" t="n">
        <x:v>158</x:v>
      </x:c>
      <x:c r="B162" s="40" t="n">
        <x:v>10</x:v>
      </x:c>
      <x:c r="C162" s="40" t="n">
        <x:v>5</x:v>
      </x:c>
      <x:c r="D162" s="36" t="str">
        <x:v>direita → esquerda</x:v>
      </x:c>
      <x:c r="E162" s="41" t="n">
        <x:v>2.2</x:v>
      </x:c>
      <x:c r="F162" s="41" t="n">
        <x:v>0.25</x:v>
      </x:c>
      <x:c r="G162" s="134" t="n">
        <x:v>19.1</x:v>
      </x:c>
    </x:row>
    <x:row r="163">
      <x:c r="A163" s="40" t="n">
        <x:v>159</x:v>
      </x:c>
      <x:c r="B163" s="40" t="n">
        <x:v>10</x:v>
      </x:c>
      <x:c r="C163" s="40" t="n">
        <x:v>6</x:v>
      </x:c>
      <x:c r="D163" s="36" t="str">
        <x:v>direita → esquerda</x:v>
      </x:c>
      <x:c r="E163" s="41" t="n">
        <x:v>1.95</x:v>
      </x:c>
      <x:c r="F163" s="41" t="n">
        <x:v>0.25</x:v>
      </x:c>
      <x:c r="G163" s="134" t="n">
        <x:v>19.5</x:v>
      </x:c>
    </x:row>
    <x:row r="164">
      <x:c r="A164" s="40" t="n">
        <x:v>160</x:v>
      </x:c>
      <x:c r="B164" s="40" t="n">
        <x:v>10</x:v>
      </x:c>
      <x:c r="C164" s="40" t="n">
        <x:v>7</x:v>
      </x:c>
      <x:c r="D164" s="36" t="str">
        <x:v>direita → esquerda</x:v>
      </x:c>
      <x:c r="E164" s="41" t="n">
        <x:v>1.7</x:v>
      </x:c>
      <x:c r="F164" s="41" t="n">
        <x:v>0.25</x:v>
      </x:c>
      <x:c r="G164" s="134" t="n">
        <x:v>18.1</x:v>
      </x:c>
    </x:row>
    <x:row r="165">
      <x:c r="A165" s="40" t="n">
        <x:v>161</x:v>
      </x:c>
      <x:c r="B165" s="40" t="n">
        <x:v>10</x:v>
      </x:c>
      <x:c r="C165" s="40" t="n">
        <x:v>8</x:v>
      </x:c>
      <x:c r="D165" s="36" t="str">
        <x:v>direita → esquerda</x:v>
      </x:c>
      <x:c r="E165" s="41" t="n">
        <x:v>1.45</x:v>
      </x:c>
      <x:c r="F165" s="41" t="n">
        <x:v>0.25</x:v>
      </x:c>
      <x:c r="G165" s="134" t="n">
        <x:v>17.2</x:v>
      </x:c>
    </x:row>
    <x:row r="166">
      <x:c r="A166" s="40" t="n">
        <x:v>162</x:v>
      </x:c>
      <x:c r="B166" s="40" t="n">
        <x:v>10</x:v>
      </x:c>
      <x:c r="C166" s="40" t="n">
        <x:v>9</x:v>
      </x:c>
      <x:c r="D166" s="36" t="str">
        <x:v>direita → esquerda</x:v>
      </x:c>
      <x:c r="E166" s="41" t="n">
        <x:v>1.2</x:v>
      </x:c>
      <x:c r="F166" s="41" t="n">
        <x:v>0.25</x:v>
      </x:c>
      <x:c r="G166" s="134" t="n">
        <x:v>18.8</x:v>
      </x:c>
    </x:row>
    <x:row r="167">
      <x:c r="A167" s="40" t="n">
        <x:v>163</x:v>
      </x:c>
      <x:c r="B167" s="40" t="n">
        <x:v>10</x:v>
      </x:c>
      <x:c r="C167" s="40" t="n">
        <x:v>10</x:v>
      </x:c>
      <x:c r="D167" s="36" t="str">
        <x:v>direita → esquerda</x:v>
      </x:c>
      <x:c r="E167" s="41" t="n">
        <x:v>0.95</x:v>
      </x:c>
      <x:c r="F167" s="41" t="n">
        <x:v>0.25</x:v>
      </x:c>
      <x:c r="G167" s="134" t="n">
        <x:v>17.2</x:v>
      </x:c>
    </x:row>
    <x:row r="168">
      <x:c r="A168" s="40" t="n">
        <x:v>164</x:v>
      </x:c>
      <x:c r="B168" s="40" t="n">
        <x:v>10</x:v>
      </x:c>
      <x:c r="C168" s="40" t="n">
        <x:v>11</x:v>
      </x:c>
      <x:c r="D168" s="36" t="str">
        <x:v>direita → esquerda</x:v>
      </x:c>
      <x:c r="E168" s="41" t="n">
        <x:v>0.7</x:v>
      </x:c>
      <x:c r="F168" s="41" t="n">
        <x:v>0.25</x:v>
      </x:c>
      <x:c r="G168" s="134" t="n">
        <x:v>16.6</x:v>
      </x:c>
    </x:row>
    <x:row r="169">
      <x:c r="A169" s="40" t="n">
        <x:v>165</x:v>
      </x:c>
      <x:c r="B169" s="40" t="n">
        <x:v>10</x:v>
      </x:c>
      <x:c r="C169" s="40" t="n">
        <x:v>12</x:v>
      </x:c>
      <x:c r="D169" s="36" t="str">
        <x:v>direita → esquerda</x:v>
      </x:c>
      <x:c r="E169" s="41" t="n">
        <x:v>0.44999999999999996</x:v>
      </x:c>
      <x:c r="F169" s="41" t="n">
        <x:v>0.25</x:v>
      </x:c>
      <x:c r="G169" s="134" t="n">
        <x:v>21.6</x:v>
      </x:c>
    </x:row>
    <x:row r="170">
      <x:c r="A170" s="40" t="n">
        <x:v>166</x:v>
      </x:c>
      <x:c r="B170" s="40" t="n">
        <x:v>10</x:v>
      </x:c>
      <x:c r="C170" s="40" t="n">
        <x:v>13</x:v>
      </x:c>
      <x:c r="D170" s="36" t="str">
        <x:v>direita → esquerda</x:v>
      </x:c>
      <x:c r="E170" s="41" t="n">
        <x:v>0.19999999999999996</x:v>
      </x:c>
      <x:c r="F170" s="41" t="n">
        <x:v>0.25</x:v>
      </x:c>
      <x:c r="G170" s="134" t="n">
        <x:v>20.6</x:v>
      </x:c>
    </x:row>
    <x:row r="171">
      <x:c r="A171" s="40" t="n">
        <x:v>167</x:v>
      </x:c>
      <x:c r="B171" s="40" t="n">
        <x:v>10</x:v>
      </x:c>
      <x:c r="C171" s="40" t="n">
        <x:v>14</x:v>
      </x:c>
      <x:c r="D171" s="36" t="str">
        <x:v>direita → esquerda</x:v>
      </x:c>
      <x:c r="E171" s="41" t="n">
        <x:v>-0.050000000000000044</x:v>
      </x:c>
      <x:c r="F171" s="41" t="n">
        <x:v>0.25</x:v>
      </x:c>
      <x:c r="G171" s="134" t="n">
        <x:v>26.2</x:v>
      </x:c>
    </x:row>
    <x:row r="172">
      <x:c r="A172" s="40" t="n">
        <x:v>168</x:v>
      </x:c>
      <x:c r="B172" s="40" t="n">
        <x:v>10</x:v>
      </x:c>
      <x:c r="C172" s="40" t="n">
        <x:v>15</x:v>
      </x:c>
      <x:c r="D172" s="36" t="str">
        <x:v>direita → esquerda</x:v>
      </x:c>
      <x:c r="E172" s="41" t="n">
        <x:v>-0.30000000000000004</x:v>
      </x:c>
      <x:c r="F172" s="41" t="n">
        <x:v>0.25</x:v>
      </x:c>
      <x:c r="G172" s="134" t="n">
        <x:v>29.7</x:v>
      </x:c>
    </x:row>
    <x:row r="173">
      <x:c r="A173" s="40" t="n">
        <x:v>169</x:v>
      </x:c>
      <x:c r="B173" s="40" t="n">
        <x:v>10</x:v>
      </x:c>
      <x:c r="C173" s="40" t="n">
        <x:v>16</x:v>
      </x:c>
      <x:c r="D173" s="36" t="str">
        <x:v>direita → esquerda</x:v>
      </x:c>
      <x:c r="E173" s="41" t="n">
        <x:v>-0.55</x:v>
      </x:c>
      <x:c r="F173" s="41" t="n">
        <x:v>0.25</x:v>
      </x:c>
      <x:c r="G173" s="134" t="n">
        <x:v>29.6</x:v>
      </x:c>
    </x:row>
    <x:row r="174">
      <x:c r="A174" s="40" t="n">
        <x:v>170</x:v>
      </x:c>
      <x:c r="B174" s="40" t="n">
        <x:v>10</x:v>
      </x:c>
      <x:c r="C174" s="40" t="n">
        <x:v>17</x:v>
      </x:c>
      <x:c r="D174" s="36" t="str">
        <x:v>direita → esquerda</x:v>
      </x:c>
      <x:c r="E174" s="41" t="n">
        <x:v>-0.8</x:v>
      </x:c>
      <x:c r="F174" s="41" t="n">
        <x:v>0.25</x:v>
      </x:c>
      <x:c r="G174" s="134" t="n">
        <x:v>34.9</x:v>
      </x:c>
    </x:row>
    <x:row r="175">
      <x:c r="A175" s="40" t="n">
        <x:v>171</x:v>
      </x:c>
      <x:c r="B175" s="40" t="n">
        <x:v>11</x:v>
      </x:c>
      <x:c r="C175" s="40" t="n">
        <x:v>1</x:v>
      </x:c>
      <x:c r="D175" s="36" t="str">
        <x:v>esquerda → direita</x:v>
      </x:c>
      <x:c r="E175" s="41" t="n">
        <x:v>-0.8</x:v>
      </x:c>
      <x:c r="F175" s="41" t="n">
        <x:v>0.5</x:v>
      </x:c>
      <x:c r="G175" s="134" t="n">
        <x:v>33.6</x:v>
      </x:c>
    </x:row>
    <x:row r="176">
      <x:c r="A176" s="40" t="n">
        <x:v>172</x:v>
      </x:c>
      <x:c r="B176" s="40" t="n">
        <x:v>11</x:v>
      </x:c>
      <x:c r="C176" s="40" t="n">
        <x:v>2</x:v>
      </x:c>
      <x:c r="D176" s="36" t="str">
        <x:v>esquerda → direita</x:v>
      </x:c>
      <x:c r="E176" s="41" t="n">
        <x:v>-0.55</x:v>
      </x:c>
      <x:c r="F176" s="41" t="n">
        <x:v>0.5</x:v>
      </x:c>
      <x:c r="G176" s="134" t="n">
        <x:v>32.5</x:v>
      </x:c>
    </x:row>
    <x:row r="177">
      <x:c r="A177" s="40" t="n">
        <x:v>173</x:v>
      </x:c>
      <x:c r="B177" s="40" t="n">
        <x:v>11</x:v>
      </x:c>
      <x:c r="C177" s="40" t="n">
        <x:v>3</x:v>
      </x:c>
      <x:c r="D177" s="36" t="str">
        <x:v>esquerda → direita</x:v>
      </x:c>
      <x:c r="E177" s="41" t="n">
        <x:v>-0.30000000000000004</x:v>
      </x:c>
      <x:c r="F177" s="41" t="n">
        <x:v>0.5</x:v>
      </x:c>
      <x:c r="G177" s="134" t="n">
        <x:v>28.8</x:v>
      </x:c>
    </x:row>
    <x:row r="178">
      <x:c r="A178" s="40" t="n">
        <x:v>174</x:v>
      </x:c>
      <x:c r="B178" s="40" t="n">
        <x:v>11</x:v>
      </x:c>
      <x:c r="C178" s="40" t="n">
        <x:v>4</x:v>
      </x:c>
      <x:c r="D178" s="36" t="str">
        <x:v>esquerda → direita</x:v>
      </x:c>
      <x:c r="E178" s="41" t="n">
        <x:v>-0.050000000000000044</x:v>
      </x:c>
      <x:c r="F178" s="41" t="n">
        <x:v>0.5</x:v>
      </x:c>
      <x:c r="G178" s="134" t="n">
        <x:v>29.6</x:v>
      </x:c>
    </x:row>
    <x:row r="179">
      <x:c r="A179" s="40" t="n">
        <x:v>175</x:v>
      </x:c>
      <x:c r="B179" s="40" t="n">
        <x:v>11</x:v>
      </x:c>
      <x:c r="C179" s="40" t="n">
        <x:v>5</x:v>
      </x:c>
      <x:c r="D179" s="36" t="str">
        <x:v>esquerda → direita</x:v>
      </x:c>
      <x:c r="E179" s="41" t="n">
        <x:v>0.19999999999999996</x:v>
      </x:c>
      <x:c r="F179" s="41" t="n">
        <x:v>0.5</x:v>
      </x:c>
      <x:c r="G179" s="134" t="n">
        <x:v>24.4</x:v>
      </x:c>
    </x:row>
    <x:row r="180">
      <x:c r="A180" s="40" t="n">
        <x:v>176</x:v>
      </x:c>
      <x:c r="B180" s="40" t="n">
        <x:v>11</x:v>
      </x:c>
      <x:c r="C180" s="40" t="n">
        <x:v>6</x:v>
      </x:c>
      <x:c r="D180" s="36" t="str">
        <x:v>esquerda → direita</x:v>
      </x:c>
      <x:c r="E180" s="41" t="n">
        <x:v>0.44999999999999996</x:v>
      </x:c>
      <x:c r="F180" s="41" t="n">
        <x:v>0.5</x:v>
      </x:c>
      <x:c r="G180" s="134" t="n">
        <x:v>21.6</x:v>
      </x:c>
    </x:row>
    <x:row r="181">
      <x:c r="A181" s="40" t="n">
        <x:v>177</x:v>
      </x:c>
      <x:c r="B181" s="40" t="n">
        <x:v>11</x:v>
      </x:c>
      <x:c r="C181" s="40" t="n">
        <x:v>7</x:v>
      </x:c>
      <x:c r="D181" s="36" t="str">
        <x:v>esquerda → direita</x:v>
      </x:c>
      <x:c r="E181" s="41" t="n">
        <x:v>0.7</x:v>
      </x:c>
      <x:c r="F181" s="41" t="n">
        <x:v>0.5</x:v>
      </x:c>
      <x:c r="G181" s="134" t="n">
        <x:v>24.3</x:v>
      </x:c>
    </x:row>
    <x:row r="182">
      <x:c r="A182" s="40" t="n">
        <x:v>178</x:v>
      </x:c>
      <x:c r="B182" s="40" t="n">
        <x:v>11</x:v>
      </x:c>
      <x:c r="C182" s="40" t="n">
        <x:v>8</x:v>
      </x:c>
      <x:c r="D182" s="36" t="str">
        <x:v>esquerda → direita</x:v>
      </x:c>
      <x:c r="E182" s="41" t="n">
        <x:v>0.95</x:v>
      </x:c>
      <x:c r="F182" s="41" t="n">
        <x:v>0.5</x:v>
      </x:c>
      <x:c r="G182" s="134" t="n">
        <x:v>21.5</x:v>
      </x:c>
    </x:row>
    <x:row r="183">
      <x:c r="A183" s="40" t="n">
        <x:v>179</x:v>
      </x:c>
      <x:c r="B183" s="40" t="n">
        <x:v>11</x:v>
      </x:c>
      <x:c r="C183" s="40" t="n">
        <x:v>9</x:v>
      </x:c>
      <x:c r="D183" s="36" t="str">
        <x:v>esquerda → direita</x:v>
      </x:c>
      <x:c r="E183" s="41" t="n">
        <x:v>1.2</x:v>
      </x:c>
      <x:c r="F183" s="41" t="n">
        <x:v>0.5</x:v>
      </x:c>
      <x:c r="G183" s="134" t="n">
        <x:v>21.8</x:v>
      </x:c>
    </x:row>
    <x:row r="184">
      <x:c r="A184" s="40" t="n">
        <x:v>180</x:v>
      </x:c>
      <x:c r="B184" s="40" t="n">
        <x:v>11</x:v>
      </x:c>
      <x:c r="C184" s="40" t="n">
        <x:v>10</x:v>
      </x:c>
      <x:c r="D184" s="36" t="str">
        <x:v>esquerda → direita</x:v>
      </x:c>
      <x:c r="E184" s="41" t="n">
        <x:v>1.45</x:v>
      </x:c>
      <x:c r="F184" s="41" t="n">
        <x:v>0.5</x:v>
      </x:c>
      <x:c r="G184" s="134" t="n">
        <x:v>24.2</x:v>
      </x:c>
    </x:row>
    <x:row r="185">
      <x:c r="A185" s="40" t="n">
        <x:v>181</x:v>
      </x:c>
      <x:c r="B185" s="40" t="n">
        <x:v>11</x:v>
      </x:c>
      <x:c r="C185" s="40" t="n">
        <x:v>11</x:v>
      </x:c>
      <x:c r="D185" s="36" t="str">
        <x:v>esquerda → direita</x:v>
      </x:c>
      <x:c r="E185" s="41" t="n">
        <x:v>1.7</x:v>
      </x:c>
      <x:c r="F185" s="41" t="n">
        <x:v>0.5</x:v>
      </x:c>
      <x:c r="G185" s="134" t="n">
        <x:v>24.2</x:v>
      </x:c>
    </x:row>
    <x:row r="186">
      <x:c r="A186" s="40" t="n">
        <x:v>182</x:v>
      </x:c>
      <x:c r="B186" s="40" t="n">
        <x:v>11</x:v>
      </x:c>
      <x:c r="C186" s="40" t="n">
        <x:v>12</x:v>
      </x:c>
      <x:c r="D186" s="36" t="str">
        <x:v>esquerda → direita</x:v>
      </x:c>
      <x:c r="E186" s="41" t="n">
        <x:v>1.95</x:v>
      </x:c>
      <x:c r="F186" s="41" t="n">
        <x:v>0.5</x:v>
      </x:c>
      <x:c r="G186" s="134" t="n">
        <x:v>24.6</x:v>
      </x:c>
    </x:row>
    <x:row r="187">
      <x:c r="A187" s="40" t="n">
        <x:v>183</x:v>
      </x:c>
      <x:c r="B187" s="40" t="n">
        <x:v>11</x:v>
      </x:c>
      <x:c r="C187" s="40" t="n">
        <x:v>13</x:v>
      </x:c>
      <x:c r="D187" s="36" t="str">
        <x:v>esquerda → direita</x:v>
      </x:c>
      <x:c r="E187" s="41" t="n">
        <x:v>2.2</x:v>
      </x:c>
      <x:c r="F187" s="41" t="n">
        <x:v>0.5</x:v>
      </x:c>
      <x:c r="G187" s="134" t="n">
        <x:v>27</x:v>
      </x:c>
    </x:row>
    <x:row r="188">
      <x:c r="A188" s="40" t="n">
        <x:v>184</x:v>
      </x:c>
      <x:c r="B188" s="40" t="n">
        <x:v>11</x:v>
      </x:c>
      <x:c r="C188" s="40" t="n">
        <x:v>14</x:v>
      </x:c>
      <x:c r="D188" s="36" t="str">
        <x:v>esquerda → direita</x:v>
      </x:c>
      <x:c r="E188" s="41" t="n">
        <x:v>2.45</x:v>
      </x:c>
      <x:c r="F188" s="41" t="n">
        <x:v>0.5</x:v>
      </x:c>
      <x:c r="G188" s="134" t="n">
        <x:v>26.8</x:v>
      </x:c>
    </x:row>
    <x:row r="189">
      <x:c r="A189" s="40" t="n">
        <x:v>185</x:v>
      </x:c>
      <x:c r="B189" s="40" t="n">
        <x:v>11</x:v>
      </x:c>
      <x:c r="C189" s="40" t="n">
        <x:v>15</x:v>
      </x:c>
      <x:c r="D189" s="36" t="str">
        <x:v>esquerda → direita</x:v>
      </x:c>
      <x:c r="E189" s="41" t="n">
        <x:v>2.7</x:v>
      </x:c>
      <x:c r="F189" s="41" t="n">
        <x:v>0.5</x:v>
      </x:c>
      <x:c r="G189" s="134" t="n">
        <x:v>31.2</x:v>
      </x:c>
    </x:row>
    <x:row r="190">
      <x:c r="A190" s="40" t="n">
        <x:v>186</x:v>
      </x:c>
      <x:c r="B190" s="40" t="n">
        <x:v>11</x:v>
      </x:c>
      <x:c r="C190" s="40" t="n">
        <x:v>16</x:v>
      </x:c>
      <x:c r="D190" s="36" t="str">
        <x:v>esquerda → direita</x:v>
      </x:c>
      <x:c r="E190" s="41" t="n">
        <x:v>2.95</x:v>
      </x:c>
      <x:c r="F190" s="41" t="n">
        <x:v>0.5</x:v>
      </x:c>
      <x:c r="G190" s="134" t="n">
        <x:v>33.6</x:v>
      </x:c>
    </x:row>
    <x:row r="191">
      <x:c r="A191" s="40" t="n">
        <x:v>187</x:v>
      </x:c>
      <x:c r="B191" s="40" t="n">
        <x:v>11</x:v>
      </x:c>
      <x:c r="C191" s="40" t="n">
        <x:v>17</x:v>
      </x:c>
      <x:c r="D191" s="36" t="str">
        <x:v>esquerda → direita</x:v>
      </x:c>
      <x:c r="E191" s="41" t="n">
        <x:v>3.2</x:v>
      </x:c>
      <x:c r="F191" s="41" t="n">
        <x:v>0.5</x:v>
      </x:c>
      <x:c r="G191" s="134" t="n">
        <x:v>34.4</x:v>
      </x:c>
    </x:row>
    <x:row r="192">
      <x:c r="A192" s="40" t="n">
        <x:v>188</x:v>
      </x:c>
      <x:c r="B192" s="40" t="n">
        <x:v>12</x:v>
      </x:c>
      <x:c r="C192" s="40" t="n">
        <x:v>1</x:v>
      </x:c>
      <x:c r="D192" s="36" t="str">
        <x:v>direita → esquerda</x:v>
      </x:c>
      <x:c r="E192" s="41" t="n">
        <x:v>3.2</x:v>
      </x:c>
      <x:c r="F192" s="41" t="n">
        <x:v>0.75</x:v>
      </x:c>
      <x:c r="G192" s="134" t="n">
        <x:v>33.3</x:v>
      </x:c>
    </x:row>
    <x:row r="193">
      <x:c r="A193" s="40" t="n">
        <x:v>189</x:v>
      </x:c>
      <x:c r="B193" s="40" t="n">
        <x:v>12</x:v>
      </x:c>
      <x:c r="C193" s="40" t="n">
        <x:v>2</x:v>
      </x:c>
      <x:c r="D193" s="36" t="str">
        <x:v>direita → esquerda</x:v>
      </x:c>
      <x:c r="E193" s="41" t="n">
        <x:v>2.95</x:v>
      </x:c>
      <x:c r="F193" s="41" t="n">
        <x:v>0.75</x:v>
      </x:c>
      <x:c r="G193" s="134" t="n">
        <x:v>27.9</x:v>
      </x:c>
    </x:row>
    <x:row r="194">
      <x:c r="A194" s="40" t="n">
        <x:v>190</x:v>
      </x:c>
      <x:c r="B194" s="40" t="n">
        <x:v>12</x:v>
      </x:c>
      <x:c r="C194" s="40" t="n">
        <x:v>3</x:v>
      </x:c>
      <x:c r="D194" s="36" t="str">
        <x:v>direita → esquerda</x:v>
      </x:c>
      <x:c r="E194" s="41" t="n">
        <x:v>2.7</x:v>
      </x:c>
      <x:c r="F194" s="41" t="n">
        <x:v>0.75</x:v>
      </x:c>
      <x:c r="G194" s="134" t="n">
        <x:v>32.2</x:v>
      </x:c>
    </x:row>
    <x:row r="195">
      <x:c r="A195" s="40" t="n">
        <x:v>191</x:v>
      </x:c>
      <x:c r="B195" s="40" t="n">
        <x:v>12</x:v>
      </x:c>
      <x:c r="C195" s="40" t="n">
        <x:v>4</x:v>
      </x:c>
      <x:c r="D195" s="36" t="str">
        <x:v>direita → esquerda</x:v>
      </x:c>
      <x:c r="E195" s="41" t="n">
        <x:v>2.45</x:v>
      </x:c>
      <x:c r="F195" s="41" t="n">
        <x:v>0.75</x:v>
      </x:c>
      <x:c r="G195" s="134" t="n">
        <x:v>30.1</x:v>
      </x:c>
    </x:row>
    <x:row r="196">
      <x:c r="A196" s="40" t="n">
        <x:v>192</x:v>
      </x:c>
      <x:c r="B196" s="40" t="n">
        <x:v>12</x:v>
      </x:c>
      <x:c r="C196" s="40" t="n">
        <x:v>5</x:v>
      </x:c>
      <x:c r="D196" s="36" t="str">
        <x:v>direita → esquerda</x:v>
      </x:c>
      <x:c r="E196" s="41" t="n">
        <x:v>2.2</x:v>
      </x:c>
      <x:c r="F196" s="41" t="n">
        <x:v>0.75</x:v>
      </x:c>
      <x:c r="G196" s="134" t="n">
        <x:v>28</x:v>
      </x:c>
    </x:row>
    <x:row r="197">
      <x:c r="A197" s="40" t="n">
        <x:v>193</x:v>
      </x:c>
      <x:c r="B197" s="40" t="n">
        <x:v>12</x:v>
      </x:c>
      <x:c r="C197" s="40" t="n">
        <x:v>6</x:v>
      </x:c>
      <x:c r="D197" s="36" t="str">
        <x:v>direita → esquerda</x:v>
      </x:c>
      <x:c r="E197" s="41" t="n">
        <x:v>1.95</x:v>
      </x:c>
      <x:c r="F197" s="41" t="n">
        <x:v>0.75</x:v>
      </x:c>
      <x:c r="G197" s="134" t="n">
        <x:v>28.5</x:v>
      </x:c>
    </x:row>
    <x:row r="198">
      <x:c r="A198" s="40" t="n">
        <x:v>194</x:v>
      </x:c>
      <x:c r="B198" s="40" t="n">
        <x:v>12</x:v>
      </x:c>
      <x:c r="C198" s="40" t="n">
        <x:v>7</x:v>
      </x:c>
      <x:c r="D198" s="36" t="str">
        <x:v>direita → esquerda</x:v>
      </x:c>
      <x:c r="E198" s="41" t="n">
        <x:v>1.7</x:v>
      </x:c>
      <x:c r="F198" s="41" t="n">
        <x:v>0.75</x:v>
      </x:c>
      <x:c r="G198" s="134" t="n">
        <x:v>26.9</x:v>
      </x:c>
    </x:row>
    <x:row r="199">
      <x:c r="A199" s="40" t="n">
        <x:v>195</x:v>
      </x:c>
      <x:c r="B199" s="40" t="n">
        <x:v>12</x:v>
      </x:c>
      <x:c r="C199" s="40" t="n">
        <x:v>8</x:v>
      </x:c>
      <x:c r="D199" s="36" t="str">
        <x:v>direita → esquerda</x:v>
      </x:c>
      <x:c r="E199" s="41" t="n">
        <x:v>1.45</x:v>
      </x:c>
      <x:c r="F199" s="41" t="n">
        <x:v>0.75</x:v>
      </x:c>
      <x:c r="G199" s="134" t="n">
        <x:v>26.3</x:v>
      </x:c>
    </x:row>
    <x:row r="200">
      <x:c r="A200" s="40" t="n">
        <x:v>196</x:v>
      </x:c>
      <x:c r="B200" s="40" t="n">
        <x:v>12</x:v>
      </x:c>
      <x:c r="C200" s="40" t="n">
        <x:v>9</x:v>
      </x:c>
      <x:c r="D200" s="36" t="str">
        <x:v>direita → esquerda</x:v>
      </x:c>
      <x:c r="E200" s="41" t="n">
        <x:v>1.2</x:v>
      </x:c>
      <x:c r="F200" s="41" t="n">
        <x:v>0.75</x:v>
      </x:c>
      <x:c r="G200" s="134" t="n">
        <x:v>24</x:v>
      </x:c>
    </x:row>
    <x:row r="201">
      <x:c r="A201" s="40" t="n">
        <x:v>197</x:v>
      </x:c>
      <x:c r="B201" s="40" t="n">
        <x:v>12</x:v>
      </x:c>
      <x:c r="C201" s="40" t="n">
        <x:v>10</x:v>
      </x:c>
      <x:c r="D201" s="36" t="str">
        <x:v>direita → esquerda</x:v>
      </x:c>
      <x:c r="E201" s="41" t="n">
        <x:v>0.95</x:v>
      </x:c>
      <x:c r="F201" s="41" t="n">
        <x:v>0.75</x:v>
      </x:c>
      <x:c r="G201" s="134" t="n">
        <x:v>24.2</x:v>
      </x:c>
    </x:row>
    <x:row r="202">
      <x:c r="A202" s="40" t="n">
        <x:v>198</x:v>
      </x:c>
      <x:c r="B202" s="40" t="n">
        <x:v>12</x:v>
      </x:c>
      <x:c r="C202" s="40" t="n">
        <x:v>11</x:v>
      </x:c>
      <x:c r="D202" s="36" t="str">
        <x:v>direita → esquerda</x:v>
      </x:c>
      <x:c r="E202" s="41" t="n">
        <x:v>0.7</x:v>
      </x:c>
      <x:c r="F202" s="41" t="n">
        <x:v>0.75</x:v>
      </x:c>
      <x:c r="G202" s="134" t="n">
        <x:v>27.1</x:v>
      </x:c>
    </x:row>
    <x:row r="203">
      <x:c r="A203" s="40" t="n">
        <x:v>199</x:v>
      </x:c>
      <x:c r="B203" s="40" t="n">
        <x:v>12</x:v>
      </x:c>
      <x:c r="C203" s="40" t="n">
        <x:v>12</x:v>
      </x:c>
      <x:c r="D203" s="36" t="str">
        <x:v>direita → esquerda</x:v>
      </x:c>
      <x:c r="E203" s="41" t="n">
        <x:v>0.44999999999999996</x:v>
      </x:c>
      <x:c r="F203" s="41" t="n">
        <x:v>0.75</x:v>
      </x:c>
      <x:c r="G203" s="134" t="n">
        <x:v>27.6</x:v>
      </x:c>
    </x:row>
    <x:row r="204">
      <x:c r="A204" s="40" t="n">
        <x:v>200</x:v>
      </x:c>
      <x:c r="B204" s="40" t="n">
        <x:v>12</x:v>
      </x:c>
      <x:c r="C204" s="40" t="n">
        <x:v>13</x:v>
      </x:c>
      <x:c r="D204" s="36" t="str">
        <x:v>direita → esquerda</x:v>
      </x:c>
      <x:c r="E204" s="41" t="n">
        <x:v>0.19999999999999996</x:v>
      </x:c>
      <x:c r="F204" s="41" t="n">
        <x:v>0.75</x:v>
      </x:c>
      <x:c r="G204" s="134" t="n">
        <x:v>28.9</x:v>
      </x:c>
    </x:row>
    <x:row r="205">
      <x:c r="A205" s="40" t="n">
        <x:v>201</x:v>
      </x:c>
      <x:c r="B205" s="40" t="n">
        <x:v>12</x:v>
      </x:c>
      <x:c r="C205" s="40" t="n">
        <x:v>14</x:v>
      </x:c>
      <x:c r="D205" s="36" t="str">
        <x:v>direita → esquerda</x:v>
      </x:c>
      <x:c r="E205" s="41" t="n">
        <x:v>-0.050000000000000044</x:v>
      </x:c>
      <x:c r="F205" s="41" t="n">
        <x:v>0.75</x:v>
      </x:c>
      <x:c r="G205" s="134" t="n">
        <x:v>30.4</x:v>
      </x:c>
    </x:row>
    <x:row r="206">
      <x:c r="A206" s="40" t="n">
        <x:v>202</x:v>
      </x:c>
      <x:c r="B206" s="40" t="n">
        <x:v>12</x:v>
      </x:c>
      <x:c r="C206" s="40" t="n">
        <x:v>15</x:v>
      </x:c>
      <x:c r="D206" s="36" t="str">
        <x:v>direita → esquerda</x:v>
      </x:c>
      <x:c r="E206" s="41" t="n">
        <x:v>-0.30000000000000004</x:v>
      </x:c>
      <x:c r="F206" s="41" t="n">
        <x:v>0.75</x:v>
      </x:c>
      <x:c r="G206" s="134" t="n">
        <x:v>32.2</x:v>
      </x:c>
    </x:row>
    <x:row r="207">
      <x:c r="A207" s="40" t="n">
        <x:v>203</x:v>
      </x:c>
      <x:c r="B207" s="40" t="n">
        <x:v>12</x:v>
      </x:c>
      <x:c r="C207" s="40" t="n">
        <x:v>16</x:v>
      </x:c>
      <x:c r="D207" s="36" t="str">
        <x:v>direita → esquerda</x:v>
      </x:c>
      <x:c r="E207" s="41" t="n">
        <x:v>-0.55</x:v>
      </x:c>
      <x:c r="F207" s="41" t="n">
        <x:v>0.75</x:v>
      </x:c>
      <x:c r="G207" s="134" t="n">
        <x:v>32.9</x:v>
      </x:c>
    </x:row>
    <x:row r="208">
      <x:c r="A208" s="40" t="n">
        <x:v>204</x:v>
      </x:c>
      <x:c r="B208" s="40" t="n">
        <x:v>12</x:v>
      </x:c>
      <x:c r="C208" s="40" t="n">
        <x:v>17</x:v>
      </x:c>
      <x:c r="D208" s="36" t="str">
        <x:v>direita → esquerda</x:v>
      </x:c>
      <x:c r="E208" s="41" t="n">
        <x:v>-0.8</x:v>
      </x:c>
      <x:c r="F208" s="41" t="n">
        <x:v>0.75</x:v>
      </x:c>
      <x:c r="G208" s="134" t="n">
        <x:v>34.2</x:v>
      </x:c>
    </x:row>
    <x:row r="209">
      <x:c r="A209" s="40" t="n">
        <x:v>205</x:v>
      </x:c>
      <x:c r="B209" s="40" t="n">
        <x:v>13</x:v>
      </x:c>
      <x:c r="C209" s="40" t="n">
        <x:v>1</x:v>
      </x:c>
      <x:c r="D209" s="36" t="str">
        <x:v>esquerda → direita</x:v>
      </x:c>
      <x:c r="E209" s="41" t="n">
        <x:v>-0.8</x:v>
      </x:c>
      <x:c r="F209" s="41" t="n">
        <x:v>1</x:v>
      </x:c>
      <x:c r="G209" s="134" t="n">
        <x:v>35</x:v>
      </x:c>
    </x:row>
    <x:row r="210">
      <x:c r="A210" s="40" t="n">
        <x:v>206</x:v>
      </x:c>
      <x:c r="B210" s="40" t="n">
        <x:v>13</x:v>
      </x:c>
      <x:c r="C210" s="40" t="n">
        <x:v>2</x:v>
      </x:c>
      <x:c r="D210" s="36" t="str">
        <x:v>esquerda → direita</x:v>
      </x:c>
      <x:c r="E210" s="41" t="n">
        <x:v>-0.55</x:v>
      </x:c>
      <x:c r="F210" s="41" t="n">
        <x:v>1</x:v>
      </x:c>
      <x:c r="G210" s="134" t="n">
        <x:v>35.3</x:v>
      </x:c>
    </x:row>
    <x:row r="211">
      <x:c r="A211" s="40" t="n">
        <x:v>207</x:v>
      </x:c>
      <x:c r="B211" s="40" t="n">
        <x:v>13</x:v>
      </x:c>
      <x:c r="C211" s="40" t="n">
        <x:v>3</x:v>
      </x:c>
      <x:c r="D211" s="36" t="str">
        <x:v>esquerda → direita</x:v>
      </x:c>
      <x:c r="E211" s="41" t="n">
        <x:v>-0.30000000000000004</x:v>
      </x:c>
      <x:c r="F211" s="41" t="n">
        <x:v>1</x:v>
      </x:c>
      <x:c r="G211" s="134" t="n">
        <x:v>31.9</x:v>
      </x:c>
    </x:row>
    <x:row r="212">
      <x:c r="A212" s="40" t="n">
        <x:v>208</x:v>
      </x:c>
      <x:c r="B212" s="40" t="n">
        <x:v>13</x:v>
      </x:c>
      <x:c r="C212" s="40" t="n">
        <x:v>4</x:v>
      </x:c>
      <x:c r="D212" s="36" t="str">
        <x:v>esquerda → direita</x:v>
      </x:c>
      <x:c r="E212" s="41" t="n">
        <x:v>-0.050000000000000044</x:v>
      </x:c>
      <x:c r="F212" s="41" t="n">
        <x:v>1</x:v>
      </x:c>
      <x:c r="G212" s="134" t="n">
        <x:v>33</x:v>
      </x:c>
    </x:row>
    <x:row r="213">
      <x:c r="A213" s="40" t="n">
        <x:v>209</x:v>
      </x:c>
      <x:c r="B213" s="40" t="n">
        <x:v>13</x:v>
      </x:c>
      <x:c r="C213" s="40" t="n">
        <x:v>5</x:v>
      </x:c>
      <x:c r="D213" s="36" t="str">
        <x:v>esquerda → direita</x:v>
      </x:c>
      <x:c r="E213" s="41" t="n">
        <x:v>0.19999999999999996</x:v>
      </x:c>
      <x:c r="F213" s="41" t="n">
        <x:v>1</x:v>
      </x:c>
      <x:c r="G213" s="134" t="n">
        <x:v>31.8</x:v>
      </x:c>
    </x:row>
    <x:row r="214">
      <x:c r="A214" s="40" t="n">
        <x:v>210</x:v>
      </x:c>
      <x:c r="B214" s="40" t="n">
        <x:v>13</x:v>
      </x:c>
      <x:c r="C214" s="40" t="n">
        <x:v>6</x:v>
      </x:c>
      <x:c r="D214" s="36" t="str">
        <x:v>esquerda → direita</x:v>
      </x:c>
      <x:c r="E214" s="41" t="n">
        <x:v>0.44999999999999996</x:v>
      </x:c>
      <x:c r="F214" s="41" t="n">
        <x:v>1</x:v>
      </x:c>
      <x:c r="G214" s="134" t="n">
        <x:v>30.2</x:v>
      </x:c>
    </x:row>
    <x:row r="215">
      <x:c r="A215" s="40" t="n">
        <x:v>211</x:v>
      </x:c>
      <x:c r="B215" s="40" t="n">
        <x:v>13</x:v>
      </x:c>
      <x:c r="C215" s="40" t="n">
        <x:v>7</x:v>
      </x:c>
      <x:c r="D215" s="36" t="str">
        <x:v>esquerda → direita</x:v>
      </x:c>
      <x:c r="E215" s="41" t="n">
        <x:v>0.7</x:v>
      </x:c>
      <x:c r="F215" s="41" t="n">
        <x:v>1</x:v>
      </x:c>
      <x:c r="G215" s="134" t="n">
        <x:v>28.7</x:v>
      </x:c>
    </x:row>
    <x:row r="216">
      <x:c r="A216" s="40" t="n">
        <x:v>212</x:v>
      </x:c>
      <x:c r="B216" s="40" t="n">
        <x:v>13</x:v>
      </x:c>
      <x:c r="C216" s="40" t="n">
        <x:v>8</x:v>
      </x:c>
      <x:c r="D216" s="36" t="str">
        <x:v>esquerda → direita</x:v>
      </x:c>
      <x:c r="E216" s="41" t="n">
        <x:v>0.95</x:v>
      </x:c>
      <x:c r="F216" s="41" t="n">
        <x:v>1</x:v>
      </x:c>
      <x:c r="G216" s="134" t="n">
        <x:v>29.6</x:v>
      </x:c>
    </x:row>
    <x:row r="217">
      <x:c r="A217" s="40" t="n">
        <x:v>213</x:v>
      </x:c>
      <x:c r="B217" s="40" t="n">
        <x:v>13</x:v>
      </x:c>
      <x:c r="C217" s="40" t="n">
        <x:v>9</x:v>
      </x:c>
      <x:c r="D217" s="36" t="str">
        <x:v>esquerda → direita</x:v>
      </x:c>
      <x:c r="E217" s="41" t="n">
        <x:v>1.2</x:v>
      </x:c>
      <x:c r="F217" s="41" t="n">
        <x:v>1</x:v>
      </x:c>
      <x:c r="G217" s="134" t="n">
        <x:v>30.2</x:v>
      </x:c>
    </x:row>
    <x:row r="218">
      <x:c r="A218" s="40" t="n">
        <x:v>214</x:v>
      </x:c>
      <x:c r="B218" s="40" t="n">
        <x:v>13</x:v>
      </x:c>
      <x:c r="C218" s="40" t="n">
        <x:v>10</x:v>
      </x:c>
      <x:c r="D218" s="36" t="str">
        <x:v>esquerda → direita</x:v>
      </x:c>
      <x:c r="E218" s="41" t="n">
        <x:v>1.45</x:v>
      </x:c>
      <x:c r="F218" s="41" t="n">
        <x:v>1</x:v>
      </x:c>
      <x:c r="G218" s="134" t="n">
        <x:v>27.5</x:v>
      </x:c>
    </x:row>
    <x:row r="219">
      <x:c r="A219" s="40" t="n">
        <x:v>215</x:v>
      </x:c>
      <x:c r="B219" s="40" t="n">
        <x:v>13</x:v>
      </x:c>
      <x:c r="C219" s="40" t="n">
        <x:v>11</x:v>
      </x:c>
      <x:c r="D219" s="36" t="str">
        <x:v>esquerda → direita</x:v>
      </x:c>
      <x:c r="E219" s="41" t="n">
        <x:v>1.7</x:v>
      </x:c>
      <x:c r="F219" s="41" t="n">
        <x:v>1</x:v>
      </x:c>
      <x:c r="G219" s="134" t="n">
        <x:v>29.5</x:v>
      </x:c>
    </x:row>
    <x:row r="220">
      <x:c r="A220" s="40" t="n">
        <x:v>216</x:v>
      </x:c>
      <x:c r="B220" s="40" t="n">
        <x:v>13</x:v>
      </x:c>
      <x:c r="C220" s="40" t="n">
        <x:v>12</x:v>
      </x:c>
      <x:c r="D220" s="36" t="str">
        <x:v>esquerda → direita</x:v>
      </x:c>
      <x:c r="E220" s="41" t="n">
        <x:v>1.95</x:v>
      </x:c>
      <x:c r="F220" s="41" t="n">
        <x:v>1</x:v>
      </x:c>
      <x:c r="G220" s="134" t="n">
        <x:v>30.1</x:v>
      </x:c>
    </x:row>
    <x:row r="221">
      <x:c r="A221" s="40" t="n">
        <x:v>217</x:v>
      </x:c>
      <x:c r="B221" s="40" t="n">
        <x:v>13</x:v>
      </x:c>
      <x:c r="C221" s="40" t="n">
        <x:v>13</x:v>
      </x:c>
      <x:c r="D221" s="36" t="str">
        <x:v>esquerda → direita</x:v>
      </x:c>
      <x:c r="E221" s="41" t="n">
        <x:v>2.2</x:v>
      </x:c>
      <x:c r="F221" s="41" t="n">
        <x:v>1</x:v>
      </x:c>
      <x:c r="G221" s="134" t="n">
        <x:v>29.8</x:v>
      </x:c>
    </x:row>
    <x:row r="222">
      <x:c r="A222" s="40" t="n">
        <x:v>218</x:v>
      </x:c>
      <x:c r="B222" s="40" t="n">
        <x:v>13</x:v>
      </x:c>
      <x:c r="C222" s="40" t="n">
        <x:v>14</x:v>
      </x:c>
      <x:c r="D222" s="36" t="str">
        <x:v>esquerda → direita</x:v>
      </x:c>
      <x:c r="E222" s="41" t="n">
        <x:v>2.45</x:v>
      </x:c>
      <x:c r="F222" s="41" t="n">
        <x:v>1</x:v>
      </x:c>
      <x:c r="G222" s="134" t="n">
        <x:v>30.8</x:v>
      </x:c>
    </x:row>
    <x:row r="223">
      <x:c r="A223" s="40" t="n">
        <x:v>219</x:v>
      </x:c>
      <x:c r="B223" s="40" t="n">
        <x:v>13</x:v>
      </x:c>
      <x:c r="C223" s="40" t="n">
        <x:v>15</x:v>
      </x:c>
      <x:c r="D223" s="36" t="str">
        <x:v>esquerda → direita</x:v>
      </x:c>
      <x:c r="E223" s="41" t="n">
        <x:v>2.7</x:v>
      </x:c>
      <x:c r="F223" s="41" t="n">
        <x:v>1</x:v>
      </x:c>
      <x:c r="G223" s="134" t="n">
        <x:v>30.3</x:v>
      </x:c>
    </x:row>
    <x:row r="224">
      <x:c r="A224" s="40" t="n">
        <x:v>220</x:v>
      </x:c>
      <x:c r="B224" s="40" t="n">
        <x:v>13</x:v>
      </x:c>
      <x:c r="C224" s="40" t="n">
        <x:v>16</x:v>
      </x:c>
      <x:c r="D224" s="36" t="str">
        <x:v>esquerda → direita</x:v>
      </x:c>
      <x:c r="E224" s="41" t="n">
        <x:v>2.95</x:v>
      </x:c>
      <x:c r="F224" s="41" t="n">
        <x:v>1</x:v>
      </x:c>
      <x:c r="G224" s="134" t="n">
        <x:v>31.9</x:v>
      </x:c>
    </x:row>
    <x:row r="225">
      <x:c r="A225" s="40" t="n">
        <x:v>221</x:v>
      </x:c>
      <x:c r="B225" s="40" t="n">
        <x:v>13</x:v>
      </x:c>
      <x:c r="C225" s="40" t="n">
        <x:v>17</x:v>
      </x:c>
      <x:c r="D225" s="36" t="str">
        <x:v>esquerda → direita</x:v>
      </x:c>
      <x:c r="E225" s="41" t="n">
        <x:v>3.2</x:v>
      </x:c>
      <x:c r="F225" s="41" t="n">
        <x:v>1</x:v>
      </x:c>
      <x:c r="G225" s="134" t="n">
        <x:v>31.9</x:v>
      </x:c>
    </x:row>
    <x:row r="226">
      <x:c r="A226" s="40" t="n">
        <x:v>222</x:v>
      </x:c>
      <x:c r="B226" s="40" t="n">
        <x:v>14</x:v>
      </x:c>
      <x:c r="C226" s="40" t="n">
        <x:v>1</x:v>
      </x:c>
      <x:c r="D226" s="36" t="str">
        <x:v>direita → esquerda</x:v>
      </x:c>
      <x:c r="E226" s="41" t="n">
        <x:v>3.2</x:v>
      </x:c>
      <x:c r="F226" s="41" t="n">
        <x:v>1.25</x:v>
      </x:c>
      <x:c r="G226" s="134" t="n">
        <x:v>34</x:v>
      </x:c>
    </x:row>
    <x:row r="227">
      <x:c r="A227" s="40" t="n">
        <x:v>223</x:v>
      </x:c>
      <x:c r="B227" s="40" t="n">
        <x:v>14</x:v>
      </x:c>
      <x:c r="C227" s="40" t="n">
        <x:v>2</x:v>
      </x:c>
      <x:c r="D227" s="36" t="str">
        <x:v>direita → esquerda</x:v>
      </x:c>
      <x:c r="E227" s="41" t="n">
        <x:v>2.95</x:v>
      </x:c>
      <x:c r="F227" s="41" t="n">
        <x:v>1.25</x:v>
      </x:c>
      <x:c r="G227" s="134" t="n">
        <x:v>33.5</x:v>
      </x:c>
    </x:row>
    <x:row r="228">
      <x:c r="A228" s="40" t="n">
        <x:v>224</x:v>
      </x:c>
      <x:c r="B228" s="40" t="n">
        <x:v>14</x:v>
      </x:c>
      <x:c r="C228" s="40" t="n">
        <x:v>3</x:v>
      </x:c>
      <x:c r="D228" s="36" t="str">
        <x:v>direita → esquerda</x:v>
      </x:c>
      <x:c r="E228" s="41" t="n">
        <x:v>2.7</x:v>
      </x:c>
      <x:c r="F228" s="41" t="n">
        <x:v>1.25</x:v>
      </x:c>
      <x:c r="G228" s="134" t="n">
        <x:v>32.8</x:v>
      </x:c>
    </x:row>
    <x:row r="229">
      <x:c r="A229" s="40" t="n">
        <x:v>225</x:v>
      </x:c>
      <x:c r="B229" s="40" t="n">
        <x:v>14</x:v>
      </x:c>
      <x:c r="C229" s="40" t="n">
        <x:v>4</x:v>
      </x:c>
      <x:c r="D229" s="36" t="str">
        <x:v>direita → esquerda</x:v>
      </x:c>
      <x:c r="E229" s="41" t="n">
        <x:v>2.45</x:v>
      </x:c>
      <x:c r="F229" s="41" t="n">
        <x:v>1.25</x:v>
      </x:c>
      <x:c r="G229" s="134" t="n">
        <x:v>33.6</x:v>
      </x:c>
    </x:row>
    <x:row r="230">
      <x:c r="A230" s="40" t="n">
        <x:v>226</x:v>
      </x:c>
      <x:c r="B230" s="40" t="n">
        <x:v>14</x:v>
      </x:c>
      <x:c r="C230" s="40" t="n">
        <x:v>5</x:v>
      </x:c>
      <x:c r="D230" s="36" t="str">
        <x:v>direita → esquerda</x:v>
      </x:c>
      <x:c r="E230" s="41" t="n">
        <x:v>2.2</x:v>
      </x:c>
      <x:c r="F230" s="41" t="n">
        <x:v>1.25</x:v>
      </x:c>
      <x:c r="G230" s="134" t="n">
        <x:v>32</x:v>
      </x:c>
    </x:row>
    <x:row r="231">
      <x:c r="A231" s="40" t="n">
        <x:v>227</x:v>
      </x:c>
      <x:c r="B231" s="40" t="n">
        <x:v>14</x:v>
      </x:c>
      <x:c r="C231" s="40" t="n">
        <x:v>6</x:v>
      </x:c>
      <x:c r="D231" s="36" t="str">
        <x:v>direita → esquerda</x:v>
      </x:c>
      <x:c r="E231" s="41" t="n">
        <x:v>1.95</x:v>
      </x:c>
      <x:c r="F231" s="41" t="n">
        <x:v>1.25</x:v>
      </x:c>
      <x:c r="G231" s="134" t="n">
        <x:v>30.6</x:v>
      </x:c>
    </x:row>
    <x:row r="232">
      <x:c r="A232" s="40" t="n">
        <x:v>228</x:v>
      </x:c>
      <x:c r="B232" s="40" t="n">
        <x:v>14</x:v>
      </x:c>
      <x:c r="C232" s="40" t="n">
        <x:v>7</x:v>
      </x:c>
      <x:c r="D232" s="36" t="str">
        <x:v>direita → esquerda</x:v>
      </x:c>
      <x:c r="E232" s="41" t="n">
        <x:v>1.7</x:v>
      </x:c>
      <x:c r="F232" s="41" t="n">
        <x:v>1.25</x:v>
      </x:c>
      <x:c r="G232" s="134" t="n">
        <x:v>30.1</x:v>
      </x:c>
    </x:row>
    <x:row r="233">
      <x:c r="A233" s="40" t="n">
        <x:v>229</x:v>
      </x:c>
      <x:c r="B233" s="40" t="n">
        <x:v>14</x:v>
      </x:c>
      <x:c r="C233" s="40" t="n">
        <x:v>8</x:v>
      </x:c>
      <x:c r="D233" s="36" t="str">
        <x:v>direita → esquerda</x:v>
      </x:c>
      <x:c r="E233" s="41" t="n">
        <x:v>1.45</x:v>
      </x:c>
      <x:c r="F233" s="41" t="n">
        <x:v>1.25</x:v>
      </x:c>
      <x:c r="G233" s="134" t="n">
        <x:v>29.2</x:v>
      </x:c>
    </x:row>
    <x:row r="234">
      <x:c r="A234" s="40" t="n">
        <x:v>230</x:v>
      </x:c>
      <x:c r="B234" s="40" t="n">
        <x:v>14</x:v>
      </x:c>
      <x:c r="C234" s="40" t="n">
        <x:v>9</x:v>
      </x:c>
      <x:c r="D234" s="36" t="str">
        <x:v>direita → esquerda</x:v>
      </x:c>
      <x:c r="E234" s="41" t="n">
        <x:v>1.2</x:v>
      </x:c>
      <x:c r="F234" s="41" t="n">
        <x:v>1.25</x:v>
      </x:c>
      <x:c r="G234" s="134" t="n">
        <x:v>30.6</x:v>
      </x:c>
    </x:row>
    <x:row r="235">
      <x:c r="A235" s="40" t="n">
        <x:v>231</x:v>
      </x:c>
      <x:c r="B235" s="40" t="n">
        <x:v>14</x:v>
      </x:c>
      <x:c r="C235" s="40" t="n">
        <x:v>10</x:v>
      </x:c>
      <x:c r="D235" s="36" t="str">
        <x:v>direita → esquerda</x:v>
      </x:c>
      <x:c r="E235" s="41" t="n">
        <x:v>0.95</x:v>
      </x:c>
      <x:c r="F235" s="41" t="n">
        <x:v>1.25</x:v>
      </x:c>
      <x:c r="G235" s="134" t="n">
        <x:v>30.6</x:v>
      </x:c>
    </x:row>
    <x:row r="236">
      <x:c r="A236" s="40" t="n">
        <x:v>232</x:v>
      </x:c>
      <x:c r="B236" s="40" t="n">
        <x:v>14</x:v>
      </x:c>
      <x:c r="C236" s="40" t="n">
        <x:v>11</x:v>
      </x:c>
      <x:c r="D236" s="36" t="str">
        <x:v>direita → esquerda</x:v>
      </x:c>
      <x:c r="E236" s="41" t="n">
        <x:v>0.7</x:v>
      </x:c>
      <x:c r="F236" s="41" t="n">
        <x:v>1.25</x:v>
      </x:c>
      <x:c r="G236" s="134" t="n">
        <x:v>33.8</x:v>
      </x:c>
    </x:row>
    <x:row r="237">
      <x:c r="A237" s="40" t="n">
        <x:v>233</x:v>
      </x:c>
      <x:c r="B237" s="40" t="n">
        <x:v>14</x:v>
      </x:c>
      <x:c r="C237" s="40" t="n">
        <x:v>12</x:v>
      </x:c>
      <x:c r="D237" s="36" t="str">
        <x:v>direita → esquerda</x:v>
      </x:c>
      <x:c r="E237" s="41" t="n">
        <x:v>0.44999999999999996</x:v>
      </x:c>
      <x:c r="F237" s="41" t="n">
        <x:v>1.25</x:v>
      </x:c>
      <x:c r="G237" s="134" t="n">
        <x:v>34.1</x:v>
      </x:c>
    </x:row>
    <x:row r="238">
      <x:c r="A238" s="40" t="n">
        <x:v>234</x:v>
      </x:c>
      <x:c r="B238" s="40" t="n">
        <x:v>14</x:v>
      </x:c>
      <x:c r="C238" s="40" t="n">
        <x:v>13</x:v>
      </x:c>
      <x:c r="D238" s="36" t="str">
        <x:v>direita → esquerda</x:v>
      </x:c>
      <x:c r="E238" s="41" t="n">
        <x:v>0.19999999999999996</x:v>
      </x:c>
      <x:c r="F238" s="41" t="n">
        <x:v>1.25</x:v>
      </x:c>
      <x:c r="G238" s="134" t="n">
        <x:v>34.6</x:v>
      </x:c>
    </x:row>
    <x:row r="239">
      <x:c r="A239" s="40" t="n">
        <x:v>235</x:v>
      </x:c>
      <x:c r="B239" s="40" t="n">
        <x:v>14</x:v>
      </x:c>
      <x:c r="C239" s="40" t="n">
        <x:v>14</x:v>
      </x:c>
      <x:c r="D239" s="36" t="str">
        <x:v>direita → esquerda</x:v>
      </x:c>
      <x:c r="E239" s="41" t="n">
        <x:v>-0.050000000000000044</x:v>
      </x:c>
      <x:c r="F239" s="41" t="n">
        <x:v>1.25</x:v>
      </x:c>
      <x:c r="G239" s="134" t="n">
        <x:v>36.3</x:v>
      </x:c>
    </x:row>
    <x:row r="240">
      <x:c r="A240" s="40" t="n">
        <x:v>236</x:v>
      </x:c>
      <x:c r="B240" s="40" t="n">
        <x:v>14</x:v>
      </x:c>
      <x:c r="C240" s="40" t="n">
        <x:v>15</x:v>
      </x:c>
      <x:c r="D240" s="36" t="str">
        <x:v>direita → esquerda</x:v>
      </x:c>
      <x:c r="E240" s="41" t="n">
        <x:v>-0.30000000000000004</x:v>
      </x:c>
      <x:c r="F240" s="41" t="n">
        <x:v>1.25</x:v>
      </x:c>
      <x:c r="G240" s="134" t="n">
        <x:v>31.5</x:v>
      </x:c>
    </x:row>
    <x:row r="241">
      <x:c r="A241" s="40" t="n">
        <x:v>237</x:v>
      </x:c>
      <x:c r="B241" s="40" t="n">
        <x:v>14</x:v>
      </x:c>
      <x:c r="C241" s="40" t="n">
        <x:v>16</x:v>
      </x:c>
      <x:c r="D241" s="36" t="str">
        <x:v>direita → esquerda</x:v>
      </x:c>
      <x:c r="E241" s="41" t="n">
        <x:v>-0.55</x:v>
      </x:c>
      <x:c r="F241" s="41" t="n">
        <x:v>1.25</x:v>
      </x:c>
      <x:c r="G241" s="134" t="n">
        <x:v>35.4</x:v>
      </x:c>
    </x:row>
    <x:row r="242">
      <x:c r="A242" s="40" t="n">
        <x:v>238</x:v>
      </x:c>
      <x:c r="B242" s="40" t="n">
        <x:v>14</x:v>
      </x:c>
      <x:c r="C242" s="40" t="n">
        <x:v>17</x:v>
      </x:c>
      <x:c r="D242" s="36" t="str">
        <x:v>direita → esquerda</x:v>
      </x:c>
      <x:c r="E242" s="41" t="n">
        <x:v>-0.8</x:v>
      </x:c>
      <x:c r="F242" s="41" t="n">
        <x:v>1.25</x:v>
      </x:c>
      <x:c r="G242" s="134" t="n">
        <x:v>36.2</x:v>
      </x:c>
    </x:row>
    <x:row r="243">
      <x:c r="A243" s="40" t="n">
        <x:v>239</x:v>
      </x:c>
      <x:c r="B243" s="40" t="n">
        <x:v>15</x:v>
      </x:c>
      <x:c r="C243" s="40" t="n">
        <x:v>1</x:v>
      </x:c>
      <x:c r="D243" s="36" t="str">
        <x:v>esquerda → direita</x:v>
      </x:c>
      <x:c r="E243" s="41" t="n">
        <x:v>-0.8</x:v>
      </x:c>
      <x:c r="F243" s="41" t="n">
        <x:v>1.5</x:v>
      </x:c>
      <x:c r="G243" s="134" t="n">
        <x:v>36.2</x:v>
      </x:c>
    </x:row>
    <x:row r="244">
      <x:c r="A244" s="40" t="n">
        <x:v>240</x:v>
      </x:c>
      <x:c r="B244" s="40" t="n">
        <x:v>15</x:v>
      </x:c>
      <x:c r="C244" s="40" t="n">
        <x:v>2</x:v>
      </x:c>
      <x:c r="D244" s="36" t="str">
        <x:v>esquerda → direita</x:v>
      </x:c>
      <x:c r="E244" s="41" t="n">
        <x:v>-0.55</x:v>
      </x:c>
      <x:c r="F244" s="41" t="n">
        <x:v>1.5</x:v>
      </x:c>
      <x:c r="G244" s="134" t="n">
        <x:v>38.6</x:v>
      </x:c>
    </x:row>
    <x:row r="245">
      <x:c r="A245" s="40" t="n">
        <x:v>241</x:v>
      </x:c>
      <x:c r="B245" s="40" t="n">
        <x:v>15</x:v>
      </x:c>
      <x:c r="C245" s="40" t="n">
        <x:v>3</x:v>
      </x:c>
      <x:c r="D245" s="36" t="str">
        <x:v>esquerda → direita</x:v>
      </x:c>
      <x:c r="E245" s="41" t="n">
        <x:v>-0.30000000000000004</x:v>
      </x:c>
      <x:c r="F245" s="41" t="n">
        <x:v>1.5</x:v>
      </x:c>
      <x:c r="G245" s="134" t="n">
        <x:v>38.7</x:v>
      </x:c>
    </x:row>
    <x:row r="246">
      <x:c r="A246" s="40" t="n">
        <x:v>242</x:v>
      </x:c>
      <x:c r="B246" s="40" t="n">
        <x:v>15</x:v>
      </x:c>
      <x:c r="C246" s="40" t="n">
        <x:v>4</x:v>
      </x:c>
      <x:c r="D246" s="36" t="str">
        <x:v>esquerda → direita</x:v>
      </x:c>
      <x:c r="E246" s="41" t="n">
        <x:v>-0.050000000000000044</x:v>
      </x:c>
      <x:c r="F246" s="41" t="n">
        <x:v>1.5</x:v>
      </x:c>
      <x:c r="G246" s="134" t="n">
        <x:v>35.4</x:v>
      </x:c>
    </x:row>
    <x:row r="247">
      <x:c r="A247" s="40" t="n">
        <x:v>243</x:v>
      </x:c>
      <x:c r="B247" s="40" t="n">
        <x:v>15</x:v>
      </x:c>
      <x:c r="C247" s="40" t="n">
        <x:v>5</x:v>
      </x:c>
      <x:c r="D247" s="36" t="str">
        <x:v>esquerda → direita</x:v>
      </x:c>
      <x:c r="E247" s="41" t="n">
        <x:v>0.19999999999999996</x:v>
      </x:c>
      <x:c r="F247" s="41" t="n">
        <x:v>1.5</x:v>
      </x:c>
      <x:c r="G247" s="134" t="n">
        <x:v>34.3</x:v>
      </x:c>
    </x:row>
    <x:row r="248">
      <x:c r="A248" s="40" t="n">
        <x:v>244</x:v>
      </x:c>
      <x:c r="B248" s="40" t="n">
        <x:v>15</x:v>
      </x:c>
      <x:c r="C248" s="40" t="n">
        <x:v>6</x:v>
      </x:c>
      <x:c r="D248" s="36" t="str">
        <x:v>esquerda → direita</x:v>
      </x:c>
      <x:c r="E248" s="41" t="n">
        <x:v>0.44999999999999996</x:v>
      </x:c>
      <x:c r="F248" s="41" t="n">
        <x:v>1.5</x:v>
      </x:c>
      <x:c r="G248" s="134" t="n">
        <x:v>30.9</x:v>
      </x:c>
    </x:row>
    <x:row r="249">
      <x:c r="A249" s="40" t="n">
        <x:v>245</x:v>
      </x:c>
      <x:c r="B249" s="40" t="n">
        <x:v>15</x:v>
      </x:c>
      <x:c r="C249" s="40" t="n">
        <x:v>7</x:v>
      </x:c>
      <x:c r="D249" s="36" t="str">
        <x:v>esquerda → direita</x:v>
      </x:c>
      <x:c r="E249" s="41" t="n">
        <x:v>0.7</x:v>
      </x:c>
      <x:c r="F249" s="41" t="n">
        <x:v>1.5</x:v>
      </x:c>
      <x:c r="G249" s="134" t="n">
        <x:v>30.6</x:v>
      </x:c>
    </x:row>
    <x:row r="250">
      <x:c r="A250" s="40" t="n">
        <x:v>246</x:v>
      </x:c>
      <x:c r="B250" s="40" t="n">
        <x:v>15</x:v>
      </x:c>
      <x:c r="C250" s="40" t="n">
        <x:v>8</x:v>
      </x:c>
      <x:c r="D250" s="36" t="str">
        <x:v>esquerda → direita</x:v>
      </x:c>
      <x:c r="E250" s="41" t="n">
        <x:v>0.95</x:v>
      </x:c>
      <x:c r="F250" s="41" t="n">
        <x:v>1.5</x:v>
      </x:c>
      <x:c r="G250" s="134" t="n">
        <x:v>33.3</x:v>
      </x:c>
    </x:row>
    <x:row r="251">
      <x:c r="A251" s="40" t="n">
        <x:v>247</x:v>
      </x:c>
      <x:c r="B251" s="40" t="n">
        <x:v>15</x:v>
      </x:c>
      <x:c r="C251" s="40" t="n">
        <x:v>9</x:v>
      </x:c>
      <x:c r="D251" s="36" t="str">
        <x:v>esquerda → direita</x:v>
      </x:c>
      <x:c r="E251" s="41" t="n">
        <x:v>1.2</x:v>
      </x:c>
      <x:c r="F251" s="41" t="n">
        <x:v>1.5</x:v>
      </x:c>
      <x:c r="G251" s="134" t="n">
        <x:v>32</x:v>
      </x:c>
    </x:row>
    <x:row r="252">
      <x:c r="A252" s="40" t="n">
        <x:v>248</x:v>
      </x:c>
      <x:c r="B252" s="40" t="n">
        <x:v>15</x:v>
      </x:c>
      <x:c r="C252" s="40" t="n">
        <x:v>10</x:v>
      </x:c>
      <x:c r="D252" s="36" t="str">
        <x:v>esquerda → direita</x:v>
      </x:c>
      <x:c r="E252" s="41" t="n">
        <x:v>1.45</x:v>
      </x:c>
      <x:c r="F252" s="41" t="n">
        <x:v>1.5</x:v>
      </x:c>
      <x:c r="G252" s="134" t="n">
        <x:v>30</x:v>
      </x:c>
    </x:row>
    <x:row r="253">
      <x:c r="A253" s="40" t="n">
        <x:v>249</x:v>
      </x:c>
      <x:c r="B253" s="40" t="n">
        <x:v>15</x:v>
      </x:c>
      <x:c r="C253" s="40" t="n">
        <x:v>11</x:v>
      </x:c>
      <x:c r="D253" s="36" t="str">
        <x:v>esquerda → direita</x:v>
      </x:c>
      <x:c r="E253" s="41" t="n">
        <x:v>1.7</x:v>
      </x:c>
      <x:c r="F253" s="41" t="n">
        <x:v>1.5</x:v>
      </x:c>
      <x:c r="G253" s="134" t="n">
        <x:v>32.1</x:v>
      </x:c>
    </x:row>
    <x:row r="254">
      <x:c r="A254" s="40" t="n">
        <x:v>250</x:v>
      </x:c>
      <x:c r="B254" s="40" t="n">
        <x:v>15</x:v>
      </x:c>
      <x:c r="C254" s="40" t="n">
        <x:v>12</x:v>
      </x:c>
      <x:c r="D254" s="36" t="str">
        <x:v>esquerda → direita</x:v>
      </x:c>
      <x:c r="E254" s="41" t="n">
        <x:v>1.95</x:v>
      </x:c>
      <x:c r="F254" s="41" t="n">
        <x:v>1.5</x:v>
      </x:c>
      <x:c r="G254" s="134" t="n">
        <x:v>33.2</x:v>
      </x:c>
    </x:row>
    <x:row r="255">
      <x:c r="A255" s="40" t="n">
        <x:v>251</x:v>
      </x:c>
      <x:c r="B255" s="40" t="n">
        <x:v>15</x:v>
      </x:c>
      <x:c r="C255" s="40" t="n">
        <x:v>13</x:v>
      </x:c>
      <x:c r="D255" s="36" t="str">
        <x:v>esquerda → direita</x:v>
      </x:c>
      <x:c r="E255" s="41" t="n">
        <x:v>2.2</x:v>
      </x:c>
      <x:c r="F255" s="41" t="n">
        <x:v>1.5</x:v>
      </x:c>
      <x:c r="G255" s="134" t="n">
        <x:v>34.6</x:v>
      </x:c>
    </x:row>
    <x:row r="256">
      <x:c r="A256" s="40" t="n">
        <x:v>252</x:v>
      </x:c>
      <x:c r="B256" s="40" t="n">
        <x:v>15</x:v>
      </x:c>
      <x:c r="C256" s="40" t="n">
        <x:v>14</x:v>
      </x:c>
      <x:c r="D256" s="36" t="str">
        <x:v>esquerda → direita</x:v>
      </x:c>
      <x:c r="E256" s="41" t="n">
        <x:v>2.45</x:v>
      </x:c>
      <x:c r="F256" s="41" t="n">
        <x:v>1.5</x:v>
      </x:c>
      <x:c r="G256" s="134" t="n">
        <x:v>33.3</x:v>
      </x:c>
    </x:row>
    <x:row r="257">
      <x:c r="A257" s="40" t="n">
        <x:v>253</x:v>
      </x:c>
      <x:c r="B257" s="40" t="n">
        <x:v>15</x:v>
      </x:c>
      <x:c r="C257" s="40" t="n">
        <x:v>15</x:v>
      </x:c>
      <x:c r="D257" s="36" t="str">
        <x:v>esquerda → direita</x:v>
      </x:c>
      <x:c r="E257" s="41" t="n">
        <x:v>2.7</x:v>
      </x:c>
      <x:c r="F257" s="41" t="n">
        <x:v>1.5</x:v>
      </x:c>
      <x:c r="G257" s="134" t="n">
        <x:v>33.6</x:v>
      </x:c>
    </x:row>
    <x:row r="258">
      <x:c r="A258" s="40" t="n">
        <x:v>254</x:v>
      </x:c>
      <x:c r="B258" s="40" t="n">
        <x:v>15</x:v>
      </x:c>
      <x:c r="C258" s="40" t="n">
        <x:v>16</x:v>
      </x:c>
      <x:c r="D258" s="36" t="str">
        <x:v>esquerda → direita</x:v>
      </x:c>
      <x:c r="E258" s="41" t="n">
        <x:v>2.95</x:v>
      </x:c>
      <x:c r="F258" s="41" t="n">
        <x:v>1.5</x:v>
      </x:c>
      <x:c r="G258" s="134" t="n">
        <x:v>34.5</x:v>
      </x:c>
    </x:row>
    <x:row r="259">
      <x:c r="A259" s="40" t="n">
        <x:v>255</x:v>
      </x:c>
      <x:c r="B259" s="40" t="n">
        <x:v>15</x:v>
      </x:c>
      <x:c r="C259" s="40" t="n">
        <x:v>17</x:v>
      </x:c>
      <x:c r="D259" s="36" t="str">
        <x:v>esquerda → direita</x:v>
      </x:c>
      <x:c r="E259" s="41" t="n">
        <x:v>3.2</x:v>
      </x:c>
      <x:c r="F259" s="41" t="n">
        <x:v>1.5</x:v>
      </x:c>
      <x:c r="G259" s="134" t="n">
        <x:v>35.3</x:v>
      </x:c>
    </x:row>
    <x:row r="260">
      <x:c r="A260" s="40" t="n">
        <x:v>256</x:v>
      </x:c>
      <x:c r="B260" s="40" t="n">
        <x:v>16</x:v>
      </x:c>
      <x:c r="C260" s="40" t="n">
        <x:v>1</x:v>
      </x:c>
      <x:c r="D260" s="36" t="str">
        <x:v>direita → esquerda</x:v>
      </x:c>
      <x:c r="E260" s="41" t="n">
        <x:v>3.2</x:v>
      </x:c>
      <x:c r="F260" s="41" t="n">
        <x:v>1.75</x:v>
      </x:c>
      <x:c r="G260" s="134" t="n">
        <x:v>33.4</x:v>
      </x:c>
    </x:row>
    <x:row r="261">
      <x:c r="A261" s="40" t="n">
        <x:v>257</x:v>
      </x:c>
      <x:c r="B261" s="40" t="n">
        <x:v>16</x:v>
      </x:c>
      <x:c r="C261" s="40" t="n">
        <x:v>2</x:v>
      </x:c>
      <x:c r="D261" s="36" t="str">
        <x:v>direita → esquerda</x:v>
      </x:c>
      <x:c r="E261" s="41" t="n">
        <x:v>2.95</x:v>
      </x:c>
      <x:c r="F261" s="41" t="n">
        <x:v>1.75</x:v>
      </x:c>
      <x:c r="G261" s="134" t="n">
        <x:v>36.5</x:v>
      </x:c>
    </x:row>
    <x:row r="262">
      <x:c r="A262" s="40" t="n">
        <x:v>258</x:v>
      </x:c>
      <x:c r="B262" s="40" t="n">
        <x:v>16</x:v>
      </x:c>
      <x:c r="C262" s="40" t="n">
        <x:v>3</x:v>
      </x:c>
      <x:c r="D262" s="36" t="str">
        <x:v>direita → esquerda</x:v>
      </x:c>
      <x:c r="E262" s="41" t="n">
        <x:v>2.7</x:v>
      </x:c>
      <x:c r="F262" s="41" t="n">
        <x:v>1.75</x:v>
      </x:c>
      <x:c r="G262" s="134" t="n">
        <x:v>38.5</x:v>
      </x:c>
    </x:row>
    <x:row r="263">
      <x:c r="A263" s="40" t="n">
        <x:v>259</x:v>
      </x:c>
      <x:c r="B263" s="40" t="n">
        <x:v>16</x:v>
      </x:c>
      <x:c r="C263" s="40" t="n">
        <x:v>4</x:v>
      </x:c>
      <x:c r="D263" s="36" t="str">
        <x:v>direita → esquerda</x:v>
      </x:c>
      <x:c r="E263" s="41" t="n">
        <x:v>2.45</x:v>
      </x:c>
      <x:c r="F263" s="41" t="n">
        <x:v>1.75</x:v>
      </x:c>
      <x:c r="G263" s="134" t="n">
        <x:v>35.6</x:v>
      </x:c>
    </x:row>
    <x:row r="264">
      <x:c r="A264" s="40" t="n">
        <x:v>260</x:v>
      </x:c>
      <x:c r="B264" s="40" t="n">
        <x:v>16</x:v>
      </x:c>
      <x:c r="C264" s="40" t="n">
        <x:v>5</x:v>
      </x:c>
      <x:c r="D264" s="36" t="str">
        <x:v>direita → esquerda</x:v>
      </x:c>
      <x:c r="E264" s="41" t="n">
        <x:v>2.2</x:v>
      </x:c>
      <x:c r="F264" s="41" t="n">
        <x:v>1.75</x:v>
      </x:c>
      <x:c r="G264" s="134" t="n">
        <x:v>31.3</x:v>
      </x:c>
    </x:row>
    <x:row r="265">
      <x:c r="A265" s="40" t="n">
        <x:v>261</x:v>
      </x:c>
      <x:c r="B265" s="40" t="n">
        <x:v>16</x:v>
      </x:c>
      <x:c r="C265" s="40" t="n">
        <x:v>6</x:v>
      </x:c>
      <x:c r="D265" s="36" t="str">
        <x:v>direita → esquerda</x:v>
      </x:c>
      <x:c r="E265" s="41" t="n">
        <x:v>1.95</x:v>
      </x:c>
      <x:c r="F265" s="41" t="n">
        <x:v>1.75</x:v>
      </x:c>
      <x:c r="G265" s="134" t="n">
        <x:v>33.7</x:v>
      </x:c>
    </x:row>
    <x:row r="266">
      <x:c r="A266" s="40" t="n">
        <x:v>262</x:v>
      </x:c>
      <x:c r="B266" s="40" t="n">
        <x:v>16</x:v>
      </x:c>
      <x:c r="C266" s="40" t="n">
        <x:v>7</x:v>
      </x:c>
      <x:c r="D266" s="36" t="str">
        <x:v>direita → esquerda</x:v>
      </x:c>
      <x:c r="E266" s="41" t="n">
        <x:v>1.7</x:v>
      </x:c>
      <x:c r="F266" s="41" t="n">
        <x:v>1.75</x:v>
      </x:c>
      <x:c r="G266" s="134" t="n">
        <x:v>30.3</x:v>
      </x:c>
    </x:row>
    <x:row r="267">
      <x:c r="A267" s="40" t="n">
        <x:v>263</x:v>
      </x:c>
      <x:c r="B267" s="40" t="n">
        <x:v>16</x:v>
      </x:c>
      <x:c r="C267" s="40" t="n">
        <x:v>8</x:v>
      </x:c>
      <x:c r="D267" s="36" t="str">
        <x:v>direita → esquerda</x:v>
      </x:c>
      <x:c r="E267" s="41" t="n">
        <x:v>1.45</x:v>
      </x:c>
      <x:c r="F267" s="41" t="n">
        <x:v>1.75</x:v>
      </x:c>
      <x:c r="G267" s="134" t="n">
        <x:v>30</x:v>
      </x:c>
    </x:row>
    <x:row r="268">
      <x:c r="A268" s="40" t="n">
        <x:v>264</x:v>
      </x:c>
      <x:c r="B268" s="40" t="n">
        <x:v>16</x:v>
      </x:c>
      <x:c r="C268" s="40" t="n">
        <x:v>9</x:v>
      </x:c>
      <x:c r="D268" s="36" t="str">
        <x:v>direita → esquerda</x:v>
      </x:c>
      <x:c r="E268" s="41" t="n">
        <x:v>1.2</x:v>
      </x:c>
      <x:c r="F268" s="41" t="n">
        <x:v>1.75</x:v>
      </x:c>
      <x:c r="G268" s="134" t="n">
        <x:v>34.2</x:v>
      </x:c>
    </x:row>
    <x:row r="269">
      <x:c r="A269" s="40" t="n">
        <x:v>265</x:v>
      </x:c>
      <x:c r="B269" s="40" t="n">
        <x:v>16</x:v>
      </x:c>
      <x:c r="C269" s="40" t="n">
        <x:v>10</x:v>
      </x:c>
      <x:c r="D269" s="36" t="str">
        <x:v>direita → esquerda</x:v>
      </x:c>
      <x:c r="E269" s="41" t="n">
        <x:v>0.95</x:v>
      </x:c>
      <x:c r="F269" s="41" t="n">
        <x:v>1.75</x:v>
      </x:c>
      <x:c r="G269" s="134" t="n">
        <x:v>33.3</x:v>
      </x:c>
    </x:row>
    <x:row r="270">
      <x:c r="A270" s="40" t="n">
        <x:v>266</x:v>
      </x:c>
      <x:c r="B270" s="40" t="n">
        <x:v>16</x:v>
      </x:c>
      <x:c r="C270" s="40" t="n">
        <x:v>11</x:v>
      </x:c>
      <x:c r="D270" s="36" t="str">
        <x:v>direita → esquerda</x:v>
      </x:c>
      <x:c r="E270" s="41" t="n">
        <x:v>0.7</x:v>
      </x:c>
      <x:c r="F270" s="41" t="n">
        <x:v>1.75</x:v>
      </x:c>
      <x:c r="G270" s="134" t="n">
        <x:v>32.1</x:v>
      </x:c>
    </x:row>
    <x:row r="271">
      <x:c r="A271" s="40" t="n">
        <x:v>267</x:v>
      </x:c>
      <x:c r="B271" s="40" t="n">
        <x:v>16</x:v>
      </x:c>
      <x:c r="C271" s="40" t="n">
        <x:v>12</x:v>
      </x:c>
      <x:c r="D271" s="36" t="str">
        <x:v>direita → esquerda</x:v>
      </x:c>
      <x:c r="E271" s="41" t="n">
        <x:v>0.44999999999999996</x:v>
      </x:c>
      <x:c r="F271" s="41" t="n">
        <x:v>1.75</x:v>
      </x:c>
      <x:c r="G271" s="134" t="n">
        <x:v>29.9</x:v>
      </x:c>
    </x:row>
    <x:row r="272">
      <x:c r="A272" s="40" t="n">
        <x:v>268</x:v>
      </x:c>
      <x:c r="B272" s="40" t="n">
        <x:v>16</x:v>
      </x:c>
      <x:c r="C272" s="40" t="n">
        <x:v>13</x:v>
      </x:c>
      <x:c r="D272" s="36" t="str">
        <x:v>direita → esquerda</x:v>
      </x:c>
      <x:c r="E272" s="41" t="n">
        <x:v>0.19999999999999996</x:v>
      </x:c>
      <x:c r="F272" s="41" t="n">
        <x:v>1.75</x:v>
      </x:c>
      <x:c r="G272" s="134" t="n">
        <x:v>31.6</x:v>
      </x:c>
    </x:row>
    <x:row r="273">
      <x:c r="A273" s="40" t="n">
        <x:v>269</x:v>
      </x:c>
      <x:c r="B273" s="40" t="n">
        <x:v>16</x:v>
      </x:c>
      <x:c r="C273" s="40" t="n">
        <x:v>14</x:v>
      </x:c>
      <x:c r="D273" s="36" t="str">
        <x:v>direita → esquerda</x:v>
      </x:c>
      <x:c r="E273" s="41" t="n">
        <x:v>-0.050000000000000044</x:v>
      </x:c>
      <x:c r="F273" s="41" t="n">
        <x:v>1.75</x:v>
      </x:c>
      <x:c r="G273" s="134" t="n">
        <x:v>34.5</x:v>
      </x:c>
    </x:row>
    <x:row r="274">
      <x:c r="A274" s="40" t="n">
        <x:v>270</x:v>
      </x:c>
      <x:c r="B274" s="40" t="n">
        <x:v>16</x:v>
      </x:c>
      <x:c r="C274" s="40" t="n">
        <x:v>15</x:v>
      </x:c>
      <x:c r="D274" s="36" t="str">
        <x:v>direita → esquerda</x:v>
      </x:c>
      <x:c r="E274" s="41" t="n">
        <x:v>-0.30000000000000004</x:v>
      </x:c>
      <x:c r="F274" s="41" t="n">
        <x:v>1.75</x:v>
      </x:c>
      <x:c r="G274" s="134" t="n">
        <x:v>34.7</x:v>
      </x:c>
    </x:row>
    <x:row r="275">
      <x:c r="A275" s="40" t="n">
        <x:v>271</x:v>
      </x:c>
      <x:c r="B275" s="40" t="n">
        <x:v>16</x:v>
      </x:c>
      <x:c r="C275" s="40" t="n">
        <x:v>16</x:v>
      </x:c>
      <x:c r="D275" s="36" t="str">
        <x:v>direita → esquerda</x:v>
      </x:c>
      <x:c r="E275" s="41" t="n">
        <x:v>-0.55</x:v>
      </x:c>
      <x:c r="F275" s="41" t="n">
        <x:v>1.75</x:v>
      </x:c>
      <x:c r="G275" s="134" t="n">
        <x:v>36.3</x:v>
      </x:c>
    </x:row>
    <x:row r="276">
      <x:c r="A276" s="40" t="n">
        <x:v>272</x:v>
      </x:c>
      <x:c r="B276" s="40" t="n">
        <x:v>16</x:v>
      </x:c>
      <x:c r="C276" s="40" t="n">
        <x:v>17</x:v>
      </x:c>
      <x:c r="D276" s="36" t="str">
        <x:v>direita → esquerda</x:v>
      </x:c>
      <x:c r="E276" s="41" t="n">
        <x:v>-0.8</x:v>
      </x:c>
      <x:c r="F276" s="41" t="n">
        <x:v>1.75</x:v>
      </x:c>
      <x:c r="G276" s="134" t="n">
        <x:v>38.2</x:v>
      </x:c>
    </x:row>
    <x:row r="277">
      <x:c r="A277" s="40" t="n">
        <x:v>273</x:v>
      </x:c>
      <x:c r="B277" s="40" t="n">
        <x:v>17</x:v>
      </x:c>
      <x:c r="C277" s="40" t="n">
        <x:v>1</x:v>
      </x:c>
      <x:c r="D277" s="36" t="str">
        <x:v>esquerda → direita</x:v>
      </x:c>
      <x:c r="E277" s="41" t="n">
        <x:v>-0.8</x:v>
      </x:c>
      <x:c r="F277" s="41" t="n">
        <x:v>2</x:v>
      </x:c>
      <x:c r="G277" s="134" t="n">
        <x:v>35.2</x:v>
      </x:c>
    </x:row>
    <x:row r="278">
      <x:c r="A278" s="40" t="n">
        <x:v>274</x:v>
      </x:c>
      <x:c r="B278" s="40" t="n">
        <x:v>17</x:v>
      </x:c>
      <x:c r="C278" s="40" t="n">
        <x:v>2</x:v>
      </x:c>
      <x:c r="D278" s="36" t="str">
        <x:v>esquerda → direita</x:v>
      </x:c>
      <x:c r="E278" s="41" t="n">
        <x:v>-0.55</x:v>
      </x:c>
      <x:c r="F278" s="41" t="n">
        <x:v>2</x:v>
      </x:c>
      <x:c r="G278" s="134" t="n">
        <x:v>36.4</x:v>
      </x:c>
    </x:row>
    <x:row r="279">
      <x:c r="A279" s="40" t="n">
        <x:v>275</x:v>
      </x:c>
      <x:c r="B279" s="40" t="n">
        <x:v>17</x:v>
      </x:c>
      <x:c r="C279" s="40" t="n">
        <x:v>3</x:v>
      </x:c>
      <x:c r="D279" s="36" t="str">
        <x:v>esquerda → direita</x:v>
      </x:c>
      <x:c r="E279" s="41" t="n">
        <x:v>-0.30000000000000004</x:v>
      </x:c>
      <x:c r="F279" s="41" t="n">
        <x:v>2</x:v>
      </x:c>
      <x:c r="G279" s="134" t="n">
        <x:v>35</x:v>
      </x:c>
    </x:row>
    <x:row r="280">
      <x:c r="A280" s="40" t="n">
        <x:v>276</x:v>
      </x:c>
      <x:c r="B280" s="40" t="n">
        <x:v>17</x:v>
      </x:c>
      <x:c r="C280" s="40" t="n">
        <x:v>4</x:v>
      </x:c>
      <x:c r="D280" s="36" t="str">
        <x:v>esquerda → direita</x:v>
      </x:c>
      <x:c r="E280" s="41" t="n">
        <x:v>-0.050000000000000044</x:v>
      </x:c>
      <x:c r="F280" s="41" t="n">
        <x:v>2</x:v>
      </x:c>
      <x:c r="G280" s="134" t="n">
        <x:v>34.1</x:v>
      </x:c>
    </x:row>
    <x:row r="281">
      <x:c r="A281" s="40" t="n">
        <x:v>277</x:v>
      </x:c>
      <x:c r="B281" s="40" t="n">
        <x:v>17</x:v>
      </x:c>
      <x:c r="C281" s="40" t="n">
        <x:v>5</x:v>
      </x:c>
      <x:c r="D281" s="36" t="str">
        <x:v>esquerda → direita</x:v>
      </x:c>
      <x:c r="E281" s="41" t="n">
        <x:v>0.19999999999999996</x:v>
      </x:c>
      <x:c r="F281" s="41" t="n">
        <x:v>2</x:v>
      </x:c>
      <x:c r="G281" s="134" t="n">
        <x:v>34.2</x:v>
      </x:c>
    </x:row>
    <x:row r="282">
      <x:c r="A282" s="40" t="n">
        <x:v>278</x:v>
      </x:c>
      <x:c r="B282" s="40" t="n">
        <x:v>17</x:v>
      </x:c>
      <x:c r="C282" s="40" t="n">
        <x:v>6</x:v>
      </x:c>
      <x:c r="D282" s="36" t="str">
        <x:v>esquerda → direita</x:v>
      </x:c>
      <x:c r="E282" s="41" t="n">
        <x:v>0.44999999999999996</x:v>
      </x:c>
      <x:c r="F282" s="41" t="n">
        <x:v>2</x:v>
      </x:c>
      <x:c r="G282" s="134" t="n">
        <x:v>36.1</x:v>
      </x:c>
    </x:row>
    <x:row r="283">
      <x:c r="A283" s="40" t="n">
        <x:v>279</x:v>
      </x:c>
      <x:c r="B283" s="40" t="n">
        <x:v>17</x:v>
      </x:c>
      <x:c r="C283" s="40" t="n">
        <x:v>7</x:v>
      </x:c>
      <x:c r="D283" s="36" t="str">
        <x:v>esquerda → direita</x:v>
      </x:c>
      <x:c r="E283" s="41" t="n">
        <x:v>0.7</x:v>
      </x:c>
      <x:c r="F283" s="41" t="n">
        <x:v>2</x:v>
      </x:c>
      <x:c r="G283" s="134" t="n">
        <x:v>32.5</x:v>
      </x:c>
    </x:row>
    <x:row r="284">
      <x:c r="A284" s="40" t="n">
        <x:v>280</x:v>
      </x:c>
      <x:c r="B284" s="40" t="n">
        <x:v>17</x:v>
      </x:c>
      <x:c r="C284" s="40" t="n">
        <x:v>8</x:v>
      </x:c>
      <x:c r="D284" s="36" t="str">
        <x:v>esquerda → direita</x:v>
      </x:c>
      <x:c r="E284" s="41" t="n">
        <x:v>0.95</x:v>
      </x:c>
      <x:c r="F284" s="41" t="n">
        <x:v>2</x:v>
      </x:c>
      <x:c r="G284" s="134" t="n">
        <x:v>36.2</x:v>
      </x:c>
    </x:row>
    <x:row r="285">
      <x:c r="A285" s="40" t="n">
        <x:v>281</x:v>
      </x:c>
      <x:c r="B285" s="40" t="n">
        <x:v>17</x:v>
      </x:c>
      <x:c r="C285" s="40" t="n">
        <x:v>9</x:v>
      </x:c>
      <x:c r="D285" s="36" t="str">
        <x:v>esquerda → direita</x:v>
      </x:c>
      <x:c r="E285" s="41" t="n">
        <x:v>1.2</x:v>
      </x:c>
      <x:c r="F285" s="41" t="n">
        <x:v>2</x:v>
      </x:c>
      <x:c r="G285" s="134" t="n">
        <x:v>36.7</x:v>
      </x:c>
    </x:row>
    <x:row r="286">
      <x:c r="A286" s="40" t="n">
        <x:v>282</x:v>
      </x:c>
      <x:c r="B286" s="40" t="n">
        <x:v>17</x:v>
      </x:c>
      <x:c r="C286" s="40" t="n">
        <x:v>10</x:v>
      </x:c>
      <x:c r="D286" s="36" t="str">
        <x:v>esquerda → direita</x:v>
      </x:c>
      <x:c r="E286" s="41" t="n">
        <x:v>1.45</x:v>
      </x:c>
      <x:c r="F286" s="41" t="n">
        <x:v>2</x:v>
      </x:c>
      <x:c r="G286" s="134" t="n">
        <x:v>34.3</x:v>
      </x:c>
    </x:row>
    <x:row r="287">
      <x:c r="A287" s="40" t="n">
        <x:v>283</x:v>
      </x:c>
      <x:c r="B287" s="40" t="n">
        <x:v>17</x:v>
      </x:c>
      <x:c r="C287" s="40" t="n">
        <x:v>11</x:v>
      </x:c>
      <x:c r="D287" s="36" t="str">
        <x:v>esquerda → direita</x:v>
      </x:c>
      <x:c r="E287" s="41" t="n">
        <x:v>1.7</x:v>
      </x:c>
      <x:c r="F287" s="41" t="n">
        <x:v>2</x:v>
      </x:c>
      <x:c r="G287" s="134" t="n">
        <x:v>34.8</x:v>
      </x:c>
    </x:row>
    <x:row r="288">
      <x:c r="A288" s="40" t="n">
        <x:v>284</x:v>
      </x:c>
      <x:c r="B288" s="40" t="n">
        <x:v>17</x:v>
      </x:c>
      <x:c r="C288" s="40" t="n">
        <x:v>12</x:v>
      </x:c>
      <x:c r="D288" s="36" t="str">
        <x:v>esquerda → direita</x:v>
      </x:c>
      <x:c r="E288" s="41" t="n">
        <x:v>1.95</x:v>
      </x:c>
      <x:c r="F288" s="41" t="n">
        <x:v>2</x:v>
      </x:c>
      <x:c r="G288" s="134" t="n">
        <x:v>32.1</x:v>
      </x:c>
    </x:row>
    <x:row r="289">
      <x:c r="A289" s="40" t="n">
        <x:v>285</x:v>
      </x:c>
      <x:c r="B289" s="40" t="n">
        <x:v>17</x:v>
      </x:c>
      <x:c r="C289" s="40" t="n">
        <x:v>13</x:v>
      </x:c>
      <x:c r="D289" s="36" t="str">
        <x:v>esquerda → direita</x:v>
      </x:c>
      <x:c r="E289" s="41" t="n">
        <x:v>2.2</x:v>
      </x:c>
      <x:c r="F289" s="41" t="n">
        <x:v>2</x:v>
      </x:c>
      <x:c r="G289" s="134" t="n">
        <x:v>39</x:v>
      </x:c>
    </x:row>
    <x:row r="290">
      <x:c r="A290" s="40" t="n">
        <x:v>286</x:v>
      </x:c>
      <x:c r="B290" s="40" t="n">
        <x:v>17</x:v>
      </x:c>
      <x:c r="C290" s="40" t="n">
        <x:v>14</x:v>
      </x:c>
      <x:c r="D290" s="36" t="str">
        <x:v>esquerda → direita</x:v>
      </x:c>
      <x:c r="E290" s="41" t="n">
        <x:v>2.45</x:v>
      </x:c>
      <x:c r="F290" s="41" t="n">
        <x:v>2</x:v>
      </x:c>
      <x:c r="G290" s="134" t="n">
        <x:v>36.9</x:v>
      </x:c>
    </x:row>
    <x:row r="291">
      <x:c r="A291" s="40" t="n">
        <x:v>287</x:v>
      </x:c>
      <x:c r="B291" s="40" t="n">
        <x:v>17</x:v>
      </x:c>
      <x:c r="C291" s="40" t="n">
        <x:v>15</x:v>
      </x:c>
      <x:c r="D291" s="36" t="str">
        <x:v>esquerda → direita</x:v>
      </x:c>
      <x:c r="E291" s="41" t="n">
        <x:v>2.7</x:v>
      </x:c>
      <x:c r="F291" s="41" t="n">
        <x:v>2</x:v>
      </x:c>
      <x:c r="G291" s="134" t="n">
        <x:v>35.8</x:v>
      </x:c>
    </x:row>
    <x:row r="292">
      <x:c r="A292" s="40" t="n">
        <x:v>288</x:v>
      </x:c>
      <x:c r="B292" s="40" t="n">
        <x:v>17</x:v>
      </x:c>
      <x:c r="C292" s="40" t="n">
        <x:v>16</x:v>
      </x:c>
      <x:c r="D292" s="36" t="str">
        <x:v>esquerda → direita</x:v>
      </x:c>
      <x:c r="E292" s="41" t="n">
        <x:v>2.95</x:v>
      </x:c>
      <x:c r="F292" s="41" t="n">
        <x:v>2</x:v>
      </x:c>
      <x:c r="G292" s="134" t="n">
        <x:v>35.9</x:v>
      </x:c>
    </x:row>
    <x:row r="293">
      <x:c r="A293" s="40" t="n">
        <x:v>289</x:v>
      </x:c>
      <x:c r="B293" s="40" t="n">
        <x:v>17</x:v>
      </x:c>
      <x:c r="C293" s="40" t="n">
        <x:v>17</x:v>
      </x:c>
      <x:c r="D293" s="36" t="str">
        <x:v>esquerda → direita</x:v>
      </x:c>
      <x:c r="E293" s="41" t="n">
        <x:v>3.2</x:v>
      </x:c>
      <x:c r="F293" s="41" t="n">
        <x:v>2</x:v>
      </x:c>
      <x:c r="G293" s="134" t="n">
        <x:v>37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3" ySplit="12" topLeftCell="D13" activePane="bottomRight" state="frozen"/>
    </x:sheetView>
  </x:sheetViews>
  <x:sheetFormatPr defaultRowHeight="15"/>
  <x:cols>
    <x:col min="1" max="1" width="9" hidden="0" customWidth="1"/>
    <x:col min="2" max="2" width="10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9" hidden="0" customWidth="1"/>
  </x:cols>
  <x:sheetData>
    <x:row r="1" ht="30" customHeight="1">
      <x:c r="A1" s="138" t="str">
        <x:v>COMPARAÇÃO REAL DE CAMPO — MTR-1522 — d = 0,40 m; hP = 30 mm</x:v>
      </x:c>
      <x:c r="B1" s="138"/>
      <x:c r="C1" s="138"/>
      <x:c r="D1" s="138"/>
      <x:c r="E1" s="138"/>
      <x:c r="F1" s="138"/>
      <x:c r="G1" s="138"/>
      <x:c r="H1" s="138"/>
      <x:c r="I1" s="138"/>
      <x:c r="J1" s="138"/>
    </x:row>
    <x:row r="2">
      <x:c r="A2" s="141" t="str">
        <x:v>289 leituras reais; sequência original preservada; percurso serpentina reconstruído; nenhuma suavização ou exclusão aplicada.</x:v>
      </x:c>
      <x:c r="B2" s="141"/>
      <x:c r="C2" s="141"/>
      <x:c r="D2" s="141"/>
      <x:c r="E2" s="141"/>
      <x:c r="F2" s="141"/>
      <x:c r="G2" s="141"/>
      <x:c r="H2" s="141"/>
      <x:c r="I2" s="141"/>
      <x:c r="J2" s="141"/>
    </x:row>
    <x:row r="4">
      <x:c r="A4" s="147" t="str">
        <x:v>PARÂMETRO</x:v>
      </x:c>
      <x:c r="B4" s="147" t="str">
        <x:v>VALOR</x:v>
      </x:c>
      <x:c r="C4" s="147" t="str">
        <x:v>UNIDADE</x:v>
      </x:c>
      <x:c r="D4" s="147" t="str">
        <x:v>OBSERVAÇÃO</x:v>
      </x:c>
      <x:c r="F4" s="147" t="str">
        <x:v>MÉTRICA</x:v>
      </x:c>
      <x:c r="G4" s="147" t="str">
        <x:v>VALOR</x:v>
      </x:c>
      <x:c r="H4" s="147" t="str">
        <x:v>UNIDADE</x:v>
      </x:c>
      <x:c r="I4" s="147" t="str">
        <x:v>INTERPRETAÇÃO</x:v>
      </x:c>
      <x:c r="J4" s="147" t="str"/>
    </x:row>
    <x:row r="5">
      <x:c r="A5" s="151" t="str">
        <x:v>R_ref principal (62%)</x:v>
      </x:c>
      <x:c r="B5" s="152" t="n">
        <x:v>40.1</x:v>
      </x:c>
      <x:c r="C5" s="151" t="str">
        <x:v>Ω</x:v>
      </x:c>
      <x:c r="D5" s="151" t="str">
        <x:v>Método de 62%; 52% = 39,4 Ω e 72% = 41,3 Ω</x:v>
      </x:c>
      <x:c r="F5" s="156" t="str">
        <x:v>MAPE</x:v>
      </x:c>
      <x:c r="G5" s="157" t="n">
        <x:v>0.058999894868607676</x:v>
      </x:c>
      <x:c r="H5" s="156" t="str"/>
      <x:c r="I5" s="156" t="str">
        <x:v>Erro percentual médio das leituras brutas</x:v>
      </x:c>
      <x:c r="J5" s="156" t="str"/>
    </x:row>
    <x:row r="6">
      <x:c r="A6" s="151" t="str">
        <x:v>Profundidade do eixo</x:v>
      </x:c>
      <x:c r="B6" s="152" t="n">
        <x:v>0.4</x:v>
      </x:c>
      <x:c r="C6" s="151" t="str">
        <x:v>m</x:v>
      </x:c>
      <x:c r="D6" s="151" t="str">
        <x:v>Haste horizontal 2,40 m × 12 mm</x:v>
      </x:c>
      <x:c r="F6" s="156" t="str">
        <x:v>MAE</x:v>
      </x:c>
      <x:c r="G6" s="158" t="n">
        <x:v>1.6928120003434126</x:v>
      </x:c>
      <x:c r="H6" s="156" t="str">
        <x:v>Ω</x:v>
      </x:c>
      <x:c r="I6" s="156" t="str">
        <x:v>Erro absoluto médio</x:v>
      </x:c>
      <x:c r="J6" s="156" t="str"/>
    </x:row>
    <x:row r="7">
      <x:c r="A7" s="151" t="str">
        <x:v>Inserção do probe</x:v>
      </x:c>
      <x:c r="B7" s="152" t="n">
        <x:v>0.03</x:v>
      </x:c>
      <x:c r="C7" s="151" t="str">
        <x:v>m</x:v>
      </x:c>
      <x:c r="D7" s="151" t="str">
        <x:v>Batente fixo de 30 mm</x:v>
      </x:c>
      <x:c r="F7" s="156" t="str">
        <x:v>RMSE</x:v>
      </x:c>
      <x:c r="G7" s="158" t="n">
        <x:v>2.129021949124801</x:v>
      </x:c>
      <x:c r="H7" s="156" t="str">
        <x:v>Ω</x:v>
      </x:c>
      <x:c r="I7" s="156" t="str">
        <x:v>Penaliza diferenças locais maiores</x:v>
      </x:c>
      <x:c r="J7" s="156" t="str"/>
    </x:row>
    <x:row r="8">
      <x:c r="A8" s="151" t="str">
        <x:v>Resistividade adotada</x:v>
      </x:c>
      <x:c r="B8" s="152" t="n">
        <x:v>100</x:v>
      </x:c>
      <x:c r="C8" s="151" t="str">
        <x:v>Ω·m</x:v>
      </x:c>
      <x:c r="D8" s="151" t="str">
        <x:v>Referência analítica homogênea</x:v>
      </x:c>
      <x:c r="F8" s="156" t="str">
        <x:v>Viés médio</x:v>
      </x:c>
      <x:c r="G8" s="158" t="n">
        <x:v>0.38500450618727144</x:v>
      </x:c>
      <x:c r="H8" s="156" t="str">
        <x:v>Ω</x:v>
      </x:c>
      <x:c r="I8" s="156" t="str">
        <x:v>Positivo: leitura real ligeiramente maior</x:v>
      </x:c>
      <x:c r="J8" s="156" t="str"/>
    </x:row>
    <x:row r="9">
      <x:c r="A9" s="151" t="str">
        <x:v>Pontos válidos</x:v>
      </x:c>
      <x:c r="B9" s="152" t="n">
        <x:v>289</x:v>
      </x:c>
      <x:c r="C9" s="151" t="str"/>
      <x:c r="D9" s="151" t="str">
        <x:v>Índices completos de 1 a 289</x:v>
      </x:c>
      <x:c r="F9" s="156" t="str">
        <x:v>Correlação</x:v>
      </x:c>
      <x:c r="G9" s="158" t="n">
        <x:v>0.9133029206165574</x:v>
      </x:c>
      <x:c r="H9" s="156" t="str"/>
      <x:c r="I9" s="156" t="str">
        <x:v>Preservação do padrão espacial</x:v>
      </x:c>
      <x:c r="J9" s="156" t="str"/>
    </x:row>
    <x:row r="10">
      <x:c r="A10" s="151" t="str">
        <x:v>Aquisição</x:v>
      </x:c>
      <x:c r="B10" s="151" t="str">
        <x:v>serpentina</x:v>
      </x:c>
      <x:c r="C10" s="151" t="str"/>
      <x:c r="D10" s="151" t="str">
        <x:v>Sentido alternado a cada linha</x:v>
      </x:c>
      <x:c r="F10" s="156" t="str">
        <x:v>R²</x:v>
      </x:c>
      <x:c r="G10" s="158" t="n">
        <x:v>0.7853343793811314</x:v>
      </x:c>
      <x:c r="H10" s="156" t="str"/>
      <x:c r="I10" s="156" t="str">
        <x:v>Aderência global ao mapa ideal</x:v>
      </x:c>
      <x:c r="J10" s="156" t="str"/>
    </x:row>
    <x:row r="12" ht="34" customHeight="1">
      <x:c r="A12" s="147" t="str">
        <x:v>Ponto</x:v>
      </x:c>
      <x:c r="B12" s="147" t="str">
        <x:v>x (m)</x:v>
      </x:c>
      <x:c r="C12" s="147" t="str">
        <x:v>y (m)</x:v>
      </x:c>
      <x:c r="D12" s="147" t="str">
        <x:v>Z_ideal (Ω)</x:v>
      </x:c>
      <x:c r="E12" s="147" t="str">
        <x:v>R_esperada (Ω)</x:v>
      </x:c>
      <x:c r="F12" s="147" t="str">
        <x:v>R_medida (Ω)</x:v>
      </x:c>
      <x:c r="G12" s="147" t="str">
        <x:v>Z_campo (Ω)</x:v>
      </x:c>
      <x:c r="H12" s="147" t="str">
        <x:v>Resíduo (Ω)</x:v>
      </x:c>
      <x:c r="I12" s="147" t="str">
        <x:v>Resíduo (%)</x:v>
      </x:c>
      <x:c r="J12" s="147" t="str">
        <x:v>Observação</x:v>
      </x:c>
    </x:row>
    <x:row r="13">
      <x:c r="A13" s="40" t="n">
        <x:v>1</x:v>
      </x:c>
      <x:c r="B13" s="41" t="n">
        <x:v>-0.8</x:v>
      </x:c>
      <x:c r="C13" s="41" t="n">
        <x:v>-2</x:v>
      </x:c>
      <x:c r="D13" s="161" t="n">
        <x:v>5.642820533255574</x:v>
      </x:c>
      <x:c r="E13" s="161" t="n">
        <x:v>34.45717946674443</x:v>
      </x:c>
      <x:c r="F13" s="162" t="n">
        <x:v>32.8734</x:v>
      </x:c>
      <x:c r="G13" s="158" t="n">
        <x:v>7.226600000000005</x:v>
      </x:c>
      <x:c r="H13" s="158" t="n">
        <x:v>-1.5837794667444314</x:v>
      </x:c>
      <x:c r="I13" s="157" t="n">
        <x:v>-0.045963700199924386</x:v>
      </x:c>
      <x:c r="J13" s="36" t="str">
        <x:v>Leitura real — sequência serpentina</x:v>
      </x:c>
    </x:row>
    <x:row r="14">
      <x:c r="A14" s="40" t="n">
        <x:v>2</x:v>
      </x:c>
      <x:c r="B14" s="41" t="n">
        <x:v>-0.55</x:v>
      </x:c>
      <x:c r="C14" s="41" t="n">
        <x:v>-2</x:v>
      </x:c>
      <x:c r="D14" s="161" t="n">
        <x:v>5.966355675412422</x:v>
      </x:c>
      <x:c r="E14" s="161" t="n">
        <x:v>34.13364432458758</x:v>
      </x:c>
      <x:c r="F14" s="162" t="n">
        <x:v>35.0134</x:v>
      </x:c>
      <x:c r="G14" s="158" t="n">
        <x:v>5.086600000000004</x:v>
      </x:c>
      <x:c r="H14" s="158" t="n">
        <x:v>0.8797556754124187</x:v>
      </x:c>
      <x:c r="I14" s="157" t="n">
        <x:v>0.025773857225631837</x:v>
      </x:c>
      <x:c r="J14" s="36" t="str">
        <x:v>Leitura real — sequência serpentina</x:v>
      </x:c>
    </x:row>
    <x:row r="15">
      <x:c r="A15" s="40" t="n">
        <x:v>3</x:v>
      </x:c>
      <x:c r="B15" s="41" t="n">
        <x:v>-0.30000000000000004</x:v>
      </x:c>
      <x:c r="C15" s="41" t="n">
        <x:v>-2</x:v>
      </x:c>
      <x:c r="D15" s="161" t="n">
        <x:v>6.287446611585132</x:v>
      </x:c>
      <x:c r="E15" s="161" t="n">
        <x:v>33.81255338841487</x:v>
      </x:c>
      <x:c r="F15" s="162" t="n">
        <x:v>29.7554</x:v>
      </x:c>
      <x:c r="G15" s="158" t="n">
        <x:v>10.3446</x:v>
      </x:c>
      <x:c r="H15" s="158" t="n">
        <x:v>-4.057153388414868</x:v>
      </x:c>
      <x:c r="I15" s="157" t="n">
        <x:v>-0.11998955955231001</x:v>
      </x:c>
      <x:c r="J15" s="36" t="str">
        <x:v>Leitura real — sequência serpentina</x:v>
      </x:c>
    </x:row>
    <x:row r="16">
      <x:c r="A16" s="40" t="n">
        <x:v>4</x:v>
      </x:c>
      <x:c r="B16" s="41" t="n">
        <x:v>-0.050000000000000044</x:v>
      </x:c>
      <x:c r="C16" s="41" t="n">
        <x:v>-2</x:v>
      </x:c>
      <x:c r="D16" s="161" t="n">
        <x:v>6.5937160504686325</x:v>
      </x:c>
      <x:c r="E16" s="161" t="n">
        <x:v>33.506283949531365</x:v>
      </x:c>
      <x:c r="F16" s="162" t="n">
        <x:v>37.0802</x:v>
      </x:c>
      <x:c r="G16" s="158" t="n">
        <x:v>3.0198000000000036</x:v>
      </x:c>
      <x:c r="H16" s="158" t="n">
        <x:v>3.5739160504686325</x:v>
      </x:c>
      <x:c r="I16" s="157" t="n">
        <x:v>0.10666405310274997</x:v>
      </x:c>
      <x:c r="J16" s="36" t="str">
        <x:v>Leitura real — sequência serpentina</x:v>
      </x:c>
    </x:row>
    <x:row r="17">
      <x:c r="A17" s="40" t="n">
        <x:v>5</x:v>
      </x:c>
      <x:c r="B17" s="41" t="n">
        <x:v>0.19999999999999996</x:v>
      </x:c>
      <x:c r="C17" s="41" t="n">
        <x:v>-2</x:v>
      </x:c>
      <x:c r="D17" s="161" t="n">
        <x:v>6.870969665548685</x:v>
      </x:c>
      <x:c r="E17" s="161" t="n">
        <x:v>33.229030334451316</x:v>
      </x:c>
      <x:c r="F17" s="162" t="n">
        <x:v>35.0735</x:v>
      </x:c>
      <x:c r="G17" s="158" t="n">
        <x:v>5.026499999999999</x:v>
      </x:c>
      <x:c r="H17" s="158" t="n">
        <x:v>1.8444696655486865</x:v>
      </x:c>
      <x:c r="I17" s="157" t="n">
        <x:v>0.0555077788001647</x:v>
      </x:c>
      <x:c r="J17" s="36" t="str">
        <x:v>Leitura real — sequência serpentina</x:v>
      </x:c>
    </x:row>
    <x:row r="18">
      <x:c r="A18" s="40" t="n">
        <x:v>6</x:v>
      </x:c>
      <x:c r="B18" s="41" t="n">
        <x:v>0.44999999999999996</x:v>
      </x:c>
      <x:c r="C18" s="41" t="n">
        <x:v>-2</x:v>
      </x:c>
      <x:c r="D18" s="161" t="n">
        <x:v>7.104735329955819</x:v>
      </x:c>
      <x:c r="E18" s="161" t="n">
        <x:v>32.99526467004418</x:v>
      </x:c>
      <x:c r="F18" s="162" t="n">
        <x:v>32.7472</x:v>
      </x:c>
      <x:c r="G18" s="158" t="n">
        <x:v>7.352800000000002</x:v>
      </x:c>
      <x:c r="H18" s="158" t="n">
        <x:v>-0.24806467004417954</x:v>
      </x:c>
      <x:c r="I18" s="157" t="n">
        <x:v>-0.007518190034989872</x:v>
      </x:c>
      <x:c r="J18" s="36" t="str">
        <x:v>Leitura real — sequência serpentina</x:v>
      </x:c>
    </x:row>
    <x:row r="19">
      <x:c r="A19" s="40" t="n">
        <x:v>7</x:v>
      </x:c>
      <x:c r="B19" s="41" t="n">
        <x:v>0.7</x:v>
      </x:c>
      <x:c r="C19" s="41" t="n">
        <x:v>-2</x:v>
      </x:c>
      <x:c r="D19" s="161" t="n">
        <x:v>7.281987279142493</x:v>
      </x:c>
      <x:c r="E19" s="161" t="n">
        <x:v>32.81801272085751</x:v>
      </x:c>
      <x:c r="F19" s="162" t="n">
        <x:v>32.5518</x:v>
      </x:c>
      <x:c r="G19" s="158" t="n">
        <x:v>7.548200000000001</x:v>
      </x:c>
      <x:c r="H19" s="158" t="n">
        <x:v>-0.26621272085751</x:v>
      </x:c>
      <x:c r="I19" s="157" t="n">
        <x:v>-0.008111786753264263</x:v>
      </x:c>
      <x:c r="J19" s="36" t="str">
        <x:v>Leitura real — sequência serpentina</x:v>
      </x:c>
    </x:row>
    <x:row r="20">
      <x:c r="A20" s="40" t="n">
        <x:v>8</x:v>
      </x:c>
      <x:c r="B20" s="41" t="n">
        <x:v>0.95</x:v>
      </x:c>
      <x:c r="C20" s="41" t="n">
        <x:v>-2</x:v>
      </x:c>
      <x:c r="D20" s="161" t="n">
        <x:v>7.392583316439268</x:v>
      </x:c>
      <x:c r="E20" s="161" t="n">
        <x:v>32.70741668356074</x:v>
      </x:c>
      <x:c r="F20" s="162" t="n">
        <x:v>33.8485</x:v>
      </x:c>
      <x:c r="G20" s="158" t="n">
        <x:v>6.2515</x:v>
      </x:c>
      <x:c r="H20" s="158" t="n">
        <x:v>1.1410833164392642</x:v>
      </x:c>
      <x:c r="I20" s="157" t="n">
        <x:v>0.034887601410991</x:v>
      </x:c>
      <x:c r="J20" s="36" t="str">
        <x:v>Leitura real — sequência serpentina</x:v>
      </x:c>
    </x:row>
    <x:row r="21">
      <x:c r="A21" s="40" t="n">
        <x:v>9</x:v>
      </x:c>
      <x:c r="B21" s="41" t="n">
        <x:v>1.2</x:v>
      </x:c>
      <x:c r="C21" s="41" t="n">
        <x:v>-2</x:v>
      </x:c>
      <x:c r="D21" s="161" t="n">
        <x:v>7.4301669781056034</x:v>
      </x:c>
      <x:c r="E21" s="161" t="n">
        <x:v>32.6698330218944</x:v>
      </x:c>
      <x:c r="F21" s="162" t="n">
        <x:v>32.5526</x:v>
      </x:c>
      <x:c r="G21" s="158" t="n">
        <x:v>7.547400000000003</x:v>
      </x:c>
      <x:c r="H21" s="158" t="n">
        <x:v>-0.11723302189439977</x:v>
      </x:c>
      <x:c r="I21" s="157" t="n">
        <x:v>-0.00358841815370876</x:v>
      </x:c>
      <x:c r="J21" s="36" t="str">
        <x:v>Leitura real — sequência serpentina</x:v>
      </x:c>
    </x:row>
    <x:row r="22">
      <x:c r="A22" s="40" t="n">
        <x:v>10</x:v>
      </x:c>
      <x:c r="B22" s="41" t="n">
        <x:v>1.45</x:v>
      </x:c>
      <x:c r="C22" s="41" t="n">
        <x:v>-2</x:v>
      </x:c>
      <x:c r="D22" s="161" t="n">
        <x:v>7.392583316439268</x:v>
      </x:c>
      <x:c r="E22" s="161" t="n">
        <x:v>32.70741668356074</x:v>
      </x:c>
      <x:c r="F22" s="162" t="n">
        <x:v>32.7068</x:v>
      </x:c>
      <x:c r="G22" s="158" t="n">
        <x:v>7.3932</x:v>
      </x:c>
      <x:c r="H22" s="158" t="n">
        <x:v>-0.0006166835607359644</x:v>
      </x:c>
      <x:c r="I22" s="157" t="n">
        <x:v>-0.000018854548089269285</x:v>
      </x:c>
      <x:c r="J22" s="36" t="str">
        <x:v>Leitura real — sequência serpentina</x:v>
      </x:c>
    </x:row>
    <x:row r="23">
      <x:c r="A23" s="40" t="n">
        <x:v>11</x:v>
      </x:c>
      <x:c r="B23" s="41" t="n">
        <x:v>1.7</x:v>
      </x:c>
      <x:c r="C23" s="41" t="n">
        <x:v>-2</x:v>
      </x:c>
      <x:c r="D23" s="161" t="n">
        <x:v>7.281987279142493</x:v>
      </x:c>
      <x:c r="E23" s="161" t="n">
        <x:v>32.81801272085751</x:v>
      </x:c>
      <x:c r="F23" s="162" t="n">
        <x:v>34.9692</x:v>
      </x:c>
      <x:c r="G23" s="158" t="n">
        <x:v>5.130800000000001</x:v>
      </x:c>
      <x:c r="H23" s="158" t="n">
        <x:v>2.1511872791424906</x:v>
      </x:c>
      <x:c r="I23" s="157" t="n">
        <x:v>0.06554898059916048</x:v>
      </x:c>
      <x:c r="J23" s="36" t="str">
        <x:v>Leitura real — sequência serpentina</x:v>
      </x:c>
    </x:row>
    <x:row r="24">
      <x:c r="A24" s="40" t="n">
        <x:v>12</x:v>
      </x:c>
      <x:c r="B24" s="41" t="n">
        <x:v>1.95</x:v>
      </x:c>
      <x:c r="C24" s="41" t="n">
        <x:v>-2</x:v>
      </x:c>
      <x:c r="D24" s="161" t="n">
        <x:v>7.104735329955819</x:v>
      </x:c>
      <x:c r="E24" s="161" t="n">
        <x:v>32.99526467004418</x:v>
      </x:c>
      <x:c r="F24" s="162" t="n">
        <x:v>34.7144</x:v>
      </x:c>
      <x:c r="G24" s="158" t="n">
        <x:v>5.385600000000004</x:v>
      </x:c>
      <x:c r="H24" s="158" t="n">
        <x:v>1.7191353299558187</x:v>
      </x:c>
      <x:c r="I24" s="157" t="n">
        <x:v>0.05210248643698838</x:v>
      </x:c>
      <x:c r="J24" s="36" t="str">
        <x:v>Leitura real — sequência serpentina</x:v>
      </x:c>
    </x:row>
    <x:row r="25">
      <x:c r="A25" s="40" t="n">
        <x:v>13</x:v>
      </x:c>
      <x:c r="B25" s="41" t="n">
        <x:v>2.2</x:v>
      </x:c>
      <x:c r="C25" s="41" t="n">
        <x:v>-2</x:v>
      </x:c>
      <x:c r="D25" s="161" t="n">
        <x:v>6.870969665548683</x:v>
      </x:c>
      <x:c r="E25" s="161" t="n">
        <x:v>33.229030334451316</x:v>
      </x:c>
      <x:c r="F25" s="162" t="n">
        <x:v>33.6609</x:v>
      </x:c>
      <x:c r="G25" s="158" t="n">
        <x:v>6.439100000000003</x:v>
      </x:c>
      <x:c r="H25" s="158" t="n">
        <x:v>0.4318696655486818</x:v>
      </x:c>
      <x:c r="I25" s="157" t="n">
        <x:v>0.012996757991488134</x:v>
      </x:c>
      <x:c r="J25" s="36" t="str">
        <x:v>Leitura real — sequência serpentina</x:v>
      </x:c>
    </x:row>
    <x:row r="26">
      <x:c r="A26" s="40" t="n">
        <x:v>14</x:v>
      </x:c>
      <x:c r="B26" s="41" t="n">
        <x:v>2.45</x:v>
      </x:c>
      <x:c r="C26" s="41" t="n">
        <x:v>-2</x:v>
      </x:c>
      <x:c r="D26" s="161" t="n">
        <x:v>6.593716050468632</x:v>
      </x:c>
      <x:c r="E26" s="161" t="n">
        <x:v>33.50628394953137</x:v>
      </x:c>
      <x:c r="F26" s="162" t="n">
        <x:v>33.9118</x:v>
      </x:c>
      <x:c r="G26" s="158" t="n">
        <x:v>6.188200000000002</x:v>
      </x:c>
      <x:c r="H26" s="158" t="n">
        <x:v>0.40551605046862704</x:v>
      </x:c>
      <x:c r="I26" s="157" t="n">
        <x:v>0.01210268650141666</x:v>
      </x:c>
      <x:c r="J26" s="36" t="str">
        <x:v>Leitura real — sequência serpentina</x:v>
      </x:c>
    </x:row>
    <x:row r="27">
      <x:c r="A27" s="40" t="n">
        <x:v>15</x:v>
      </x:c>
      <x:c r="B27" s="41" t="n">
        <x:v>2.7</x:v>
      </x:c>
      <x:c r="C27" s="41" t="n">
        <x:v>-2</x:v>
      </x:c>
      <x:c r="D27" s="161" t="n">
        <x:v>6.287446611585132</x:v>
      </x:c>
      <x:c r="E27" s="161" t="n">
        <x:v>33.81255338841487</x:v>
      </x:c>
      <x:c r="F27" s="162" t="n">
        <x:v>34.8111</x:v>
      </x:c>
      <x:c r="G27" s="158" t="n">
        <x:v>5.288899999999998</x:v>
      </x:c>
      <x:c r="H27" s="158" t="n">
        <x:v>0.9985466115851338</x:v>
      </x:c>
      <x:c r="I27" s="157" t="n">
        <x:v>0.0295318309775228</x:v>
      </x:c>
      <x:c r="J27" s="36" t="str">
        <x:v>Leitura real — sequência serpentina</x:v>
      </x:c>
    </x:row>
    <x:row r="28">
      <x:c r="A28" s="40" t="n">
        <x:v>16</x:v>
      </x:c>
      <x:c r="B28" s="41" t="n">
        <x:v>2.95</x:v>
      </x:c>
      <x:c r="C28" s="41" t="n">
        <x:v>-2</x:v>
      </x:c>
      <x:c r="D28" s="161" t="n">
        <x:v>5.966355675412421</x:v>
      </x:c>
      <x:c r="E28" s="161" t="n">
        <x:v>34.13364432458758</x:v>
      </x:c>
      <x:c r="F28" s="162" t="n">
        <x:v>33.3435</x:v>
      </x:c>
      <x:c r="G28" s="158" t="n">
        <x:v>6.756500000000003</x:v>
      </x:c>
      <x:c r="H28" s="158" t="n">
        <x:v>-0.7901443245875797</x:v>
      </x:c>
      <x:c r="I28" s="157" t="n">
        <x:v>-0.02314854860131102</x:v>
      </x:c>
      <x:c r="J28" s="36" t="str">
        <x:v>Leitura real — sequência serpentina</x:v>
      </x:c>
    </x:row>
    <x:row r="29">
      <x:c r="A29" s="40" t="n">
        <x:v>17</x:v>
      </x:c>
      <x:c r="B29" s="41" t="n">
        <x:v>3.2</x:v>
      </x:c>
      <x:c r="C29" s="41" t="n">
        <x:v>-2</x:v>
      </x:c>
      <x:c r="D29" s="161" t="n">
        <x:v>5.642820533255573</x:v>
      </x:c>
      <x:c r="E29" s="161" t="n">
        <x:v>34.45717946674443</x:v>
      </x:c>
      <x:c r="F29" s="162" t="n">
        <x:v>34.1717</x:v>
      </x:c>
      <x:c r="G29" s="158" t="n">
        <x:v>5.9283</x:v>
      </x:c>
      <x:c r="H29" s="158" t="n">
        <x:v>-0.2854794667444267</x:v>
      </x:c>
      <x:c r="I29" s="157" t="n">
        <x:v>-0.008285050348359208</x:v>
      </x:c>
      <x:c r="J29" s="36" t="str">
        <x:v>Leitura real — sequência serpentina</x:v>
      </x:c>
    </x:row>
    <x:row r="30">
      <x:c r="A30" s="40" t="n">
        <x:v>18</x:v>
      </x:c>
      <x:c r="B30" s="41" t="n">
        <x:v>-0.8</x:v>
      </x:c>
      <x:c r="C30" s="41" t="n">
        <x:v>-1.75</x:v>
      </x:c>
      <x:c r="D30" s="161" t="n">
        <x:v>6.0449123593594445</x:v>
      </x:c>
      <x:c r="E30" s="161" t="n">
        <x:v>34.05508764064056</x:v>
      </x:c>
      <x:c r="F30" s="162" t="n">
        <x:v>37.3591</x:v>
      </x:c>
      <x:c r="G30" s="158" t="n">
        <x:v>2.7409000000000034</x:v>
      </x:c>
      <x:c r="H30" s="158" t="n">
        <x:v>3.30401235935944</x:v>
      </x:c>
      <x:c r="I30" s="157" t="n">
        <x:v>0.0970196404785201</x:v>
      </x:c>
      <x:c r="J30" s="36" t="str">
        <x:v>Leitura real — sequência serpentina</x:v>
      </x:c>
    </x:row>
    <x:row r="31">
      <x:c r="A31" s="40" t="n">
        <x:v>19</x:v>
      </x:c>
      <x:c r="B31" s="41" t="n">
        <x:v>-0.55</x:v>
      </x:c>
      <x:c r="C31" s="41" t="n">
        <x:v>-1.75</x:v>
      </x:c>
      <x:c r="D31" s="161" t="n">
        <x:v>6.4455416047364835</x:v>
      </x:c>
      <x:c r="E31" s="161" t="n">
        <x:v>33.65445839526352</x:v>
      </x:c>
      <x:c r="F31" s="162" t="n">
        <x:v>36.233</x:v>
      </x:c>
      <x:c r="G31" s="158" t="n">
        <x:v>3.8670000000000044</x:v>
      </x:c>
      <x:c r="H31" s="158" t="n">
        <x:v>2.578541604736479</x:v>
      </x:c>
      <x:c r="I31" s="157" t="n">
        <x:v>0.07661812810808387</x:v>
      </x:c>
      <x:c r="J31" s="36" t="str">
        <x:v>Leitura real — sequência serpentina</x:v>
      </x:c>
    </x:row>
    <x:row r="32">
      <x:c r="A32" s="40" t="n">
        <x:v>20</x:v>
      </x:c>
      <x:c r="B32" s="41" t="n">
        <x:v>-0.30000000000000004</x:v>
      </x:c>
      <x:c r="C32" s="41" t="n">
        <x:v>-1.75</x:v>
      </x:c>
      <x:c r="D32" s="161" t="n">
        <x:v>6.850758958393904</x:v>
      </x:c>
      <x:c r="E32" s="161" t="n">
        <x:v>33.2492410416061</x:v>
      </x:c>
      <x:c r="F32" s="162" t="n">
        <x:v>36.9901</x:v>
      </x:c>
      <x:c r="G32" s="158" t="n">
        <x:v>3.109900000000003</x:v>
      </x:c>
      <x:c r="H32" s="158" t="n">
        <x:v>3.7408589583939005</x:v>
      </x:c>
      <x:c r="I32" s="157" t="n">
        <x:v>0.11250960446624375</x:v>
      </x:c>
      <x:c r="J32" s="36" t="str">
        <x:v>Leitura real — sequência serpentina</x:v>
      </x:c>
    </x:row>
    <x:row r="33">
      <x:c r="A33" s="40" t="n">
        <x:v>21</x:v>
      </x:c>
      <x:c r="B33" s="41" t="n">
        <x:v>-0.050000000000000044</x:v>
      </x:c>
      <x:c r="C33" s="41" t="n">
        <x:v>-1.75</x:v>
      </x:c>
      <x:c r="D33" s="161" t="n">
        <x:v>7.243575324620411</x:v>
      </x:c>
      <x:c r="E33" s="161" t="n">
        <x:v>32.85642467537959</x:v>
      </x:c>
      <x:c r="F33" s="162" t="n">
        <x:v>30.8822</x:v>
      </x:c>
      <x:c r="G33" s="158" t="n">
        <x:v>9.2178</x:v>
      </x:c>
      <x:c r="H33" s="158" t="n">
        <x:v>-1.9742246753795918</x:v>
      </x:c>
      <x:c r="I33" s="157" t="n">
        <x:v>-0.06008641216702266</x:v>
      </x:c>
      <x:c r="J33" s="36" t="str">
        <x:v>Leitura real — sequência serpentina</x:v>
      </x:c>
    </x:row>
    <x:row r="34">
      <x:c r="A34" s="40" t="n">
        <x:v>22</x:v>
      </x:c>
      <x:c r="B34" s="41" t="n">
        <x:v>0.19999999999999996</x:v>
      </x:c>
      <x:c r="C34" s="41" t="n">
        <x:v>-1.75</x:v>
      </x:c>
      <x:c r="D34" s="161" t="n">
        <x:v>7.603562763168742</x:v>
      </x:c>
      <x:c r="E34" s="161" t="n">
        <x:v>32.49643723683126</x:v>
      </x:c>
      <x:c r="F34" s="162" t="n">
        <x:v>33.5505</x:v>
      </x:c>
      <x:c r="G34" s="158" t="n">
        <x:v>6.549500000000002</x:v>
      </x:c>
      <x:c r="H34" s="158" t="n">
        <x:v>1.0540627631687371</x:v>
      </x:c>
      <x:c r="I34" s="157" t="n">
        <x:v>0.0324362561805412</x:v>
      </x:c>
      <x:c r="J34" s="36" t="str">
        <x:v>Leitura real — sequência serpentina</x:v>
      </x:c>
    </x:row>
    <x:row r="35">
      <x:c r="A35" s="40" t="n">
        <x:v>23</x:v>
      </x:c>
      <x:c r="B35" s="41" t="n">
        <x:v>0.44999999999999996</x:v>
      </x:c>
      <x:c r="C35" s="41" t="n">
        <x:v>-1.75</x:v>
      </x:c>
      <x:c r="D35" s="161" t="n">
        <x:v>7.909529324555869</x:v>
      </x:c>
      <x:c r="E35" s="161" t="n">
        <x:v>32.19047067544413</x:v>
      </x:c>
      <x:c r="F35" s="162" t="n">
        <x:v>30.1399</x:v>
      </x:c>
      <x:c r="G35" s="158" t="n">
        <x:v>9.9601</x:v>
      </x:c>
      <x:c r="H35" s="158" t="n">
        <x:v>-2.0505706754441313</x:v>
      </x:c>
      <x:c r="I35" s="157" t="n">
        <x:v>-0.06370117094958691</x:v>
      </x:c>
      <x:c r="J35" s="36" t="str">
        <x:v>Leitura real — sequência serpentina</x:v>
      </x:c>
    </x:row>
    <x:row r="36">
      <x:c r="A36" s="40" t="n">
        <x:v>24</x:v>
      </x:c>
      <x:c r="B36" s="41" t="n">
        <x:v>0.7</x:v>
      </x:c>
      <x:c r="C36" s="41" t="n">
        <x:v>-1.75</x:v>
      </x:c>
      <x:c r="D36" s="161" t="n">
        <x:v>8.14254239740988</x:v>
      </x:c>
      <x:c r="E36" s="161" t="n">
        <x:v>31.95745760259012</x:v>
      </x:c>
      <x:c r="F36" s="162" t="n">
        <x:v>35.5799</x:v>
      </x:c>
      <x:c r="G36" s="158" t="n">
        <x:v>4.520099999999999</x:v>
      </x:c>
      <x:c r="H36" s="158" t="n">
        <x:v>3.6224423974098805</x:v>
      </x:c>
      <x:c r="I36" s="157" t="n">
        <x:v>0.11335202075387514</x:v>
      </x:c>
      <x:c r="J36" s="36" t="str">
        <x:v>Leitura real — sequência serpentina</x:v>
      </x:c>
    </x:row>
    <x:row r="37">
      <x:c r="A37" s="40" t="n">
        <x:v>25</x:v>
      </x:c>
      <x:c r="B37" s="41" t="n">
        <x:v>0.95</x:v>
      </x:c>
      <x:c r="C37" s="41" t="n">
        <x:v>-1.75</x:v>
      </x:c>
      <x:c r="D37" s="161" t="n">
        <x:v>8.288203368115582</x:v>
      </x:c>
      <x:c r="E37" s="161" t="n">
        <x:v>31.81179663188442</x:v>
      </x:c>
      <x:c r="F37" s="162" t="n">
        <x:v>30.9234</x:v>
      </x:c>
      <x:c r="G37" s="158" t="n">
        <x:v>9.1766</x:v>
      </x:c>
      <x:c r="H37" s="158" t="n">
        <x:v>-0.8883966318844188</x:v>
      </x:c>
      <x:c r="I37" s="157" t="n">
        <x:v>-0.027926641244587675</x:v>
      </x:c>
      <x:c r="J37" s="36" t="str">
        <x:v>Leitura real — sequência serpentina</x:v>
      </x:c>
    </x:row>
    <x:row r="38">
      <x:c r="A38" s="40" t="n">
        <x:v>26</x:v>
      </x:c>
      <x:c r="B38" s="41" t="n">
        <x:v>1.2</x:v>
      </x:c>
      <x:c r="C38" s="41" t="n">
        <x:v>-1.75</x:v>
      </x:c>
      <x:c r="D38" s="161" t="n">
        <x:v>8.337731526890748</x:v>
      </x:c>
      <x:c r="E38" s="161" t="n">
        <x:v>31.762268473109252</x:v>
      </x:c>
      <x:c r="F38" s="162" t="n">
        <x:v>36.4075</x:v>
      </x:c>
      <x:c r="G38" s="158" t="n">
        <x:v>3.6925000000000026</x:v>
      </x:c>
      <x:c r="H38" s="158" t="n">
        <x:v>4.645231526890747</x:v>
      </x:c>
      <x:c r="I38" s="157" t="n">
        <x:v>0.14624999252882454</x:v>
      </x:c>
      <x:c r="J38" s="36" t="str">
        <x:v>Leitura real — sequência serpentina</x:v>
      </x:c>
    </x:row>
    <x:row r="39">
      <x:c r="A39" s="40" t="n">
        <x:v>27</x:v>
      </x:c>
      <x:c r="B39" s="41" t="n">
        <x:v>1.45</x:v>
      </x:c>
      <x:c r="C39" s="41" t="n">
        <x:v>-1.75</x:v>
      </x:c>
      <x:c r="D39" s="161" t="n">
        <x:v>8.288203368115582</x:v>
      </x:c>
      <x:c r="E39" s="161" t="n">
        <x:v>31.81179663188442</x:v>
      </x:c>
      <x:c r="F39" s="162" t="n">
        <x:v>33.8839</x:v>
      </x:c>
      <x:c r="G39" s="158" t="n">
        <x:v>6.216100000000004</x:v>
      </x:c>
      <x:c r="H39" s="158" t="n">
        <x:v>2.0721033681155774</x:v>
      </x:c>
      <x:c r="I39" s="157" t="n">
        <x:v>0.06513632009198574</x:v>
      </x:c>
      <x:c r="J39" s="36" t="str">
        <x:v>Leitura real — sequência serpentina</x:v>
      </x:c>
    </x:row>
    <x:row r="40">
      <x:c r="A40" s="40" t="n">
        <x:v>28</x:v>
      </x:c>
      <x:c r="B40" s="41" t="n">
        <x:v>1.7</x:v>
      </x:c>
      <x:c r="C40" s="41" t="n">
        <x:v>-1.75</x:v>
      </x:c>
      <x:c r="D40" s="161" t="n">
        <x:v>8.14254239740988</x:v>
      </x:c>
      <x:c r="E40" s="161" t="n">
        <x:v>31.95745760259012</x:v>
      </x:c>
      <x:c r="F40" s="162" t="n">
        <x:v>32.3051</x:v>
      </x:c>
      <x:c r="G40" s="158" t="n">
        <x:v>7.794899999999998</x:v>
      </x:c>
      <x:c r="H40" s="158" t="n">
        <x:v>0.34764239740988145</x:v>
      </x:c>
      <x:c r="I40" s="157" t="n">
        <x:v>0.010878287056906097</x:v>
      </x:c>
      <x:c r="J40" s="36" t="str">
        <x:v>Leitura real — sequência serpentina</x:v>
      </x:c>
    </x:row>
    <x:row r="41">
      <x:c r="A41" s="40" t="n">
        <x:v>29</x:v>
      </x:c>
      <x:c r="B41" s="41" t="n">
        <x:v>1.95</x:v>
      </x:c>
      <x:c r="C41" s="41" t="n">
        <x:v>-1.75</x:v>
      </x:c>
      <x:c r="D41" s="161" t="n">
        <x:v>7.909529324555869</x:v>
      </x:c>
      <x:c r="E41" s="161" t="n">
        <x:v>32.19047067544413</x:v>
      </x:c>
      <x:c r="F41" s="162" t="n">
        <x:v>32.3535</x:v>
      </x:c>
      <x:c r="G41" s="158" t="n">
        <x:v>7.746500000000005</x:v>
      </x:c>
      <x:c r="H41" s="158" t="n">
        <x:v>0.16302932455586472</x:v>
      </x:c>
      <x:c r="I41" s="157" t="n">
        <x:v>0.005064521305065242</x:v>
      </x:c>
      <x:c r="J41" s="36" t="str">
        <x:v>Leitura real — sequência serpentina</x:v>
      </x:c>
    </x:row>
    <x:row r="42">
      <x:c r="A42" s="40" t="n">
        <x:v>30</x:v>
      </x:c>
      <x:c r="B42" s="41" t="n">
        <x:v>2.2</x:v>
      </x:c>
      <x:c r="C42" s="41" t="n">
        <x:v>-1.75</x:v>
      </x:c>
      <x:c r="D42" s="161" t="n">
        <x:v>7.603562763168742</x:v>
      </x:c>
      <x:c r="E42" s="161" t="n">
        <x:v>32.49643723683126</x:v>
      </x:c>
      <x:c r="F42" s="162" t="n">
        <x:v>34.6382</x:v>
      </x:c>
      <x:c r="G42" s="158" t="n">
        <x:v>5.461800000000004</x:v>
      </x:c>
      <x:c r="H42" s="158" t="n">
        <x:v>2.1417627631687353</x:v>
      </x:c>
      <x:c r="I42" s="157" t="n">
        <x:v>0.06590761773543823</x:v>
      </x:c>
      <x:c r="J42" s="36" t="str">
        <x:v>Leitura real — sequência serpentina</x:v>
      </x:c>
    </x:row>
    <x:row r="43">
      <x:c r="A43" s="40" t="n">
        <x:v>31</x:v>
      </x:c>
      <x:c r="B43" s="41" t="n">
        <x:v>2.45</x:v>
      </x:c>
      <x:c r="C43" s="41" t="n">
        <x:v>-1.75</x:v>
      </x:c>
      <x:c r="D43" s="161" t="n">
        <x:v>7.243575324620411</x:v>
      </x:c>
      <x:c r="E43" s="161" t="n">
        <x:v>32.85642467537959</x:v>
      </x:c>
      <x:c r="F43" s="162" t="n">
        <x:v>32.46</x:v>
      </x:c>
      <x:c r="G43" s="158" t="n">
        <x:v>7.640000000000001</x:v>
      </x:c>
      <x:c r="H43" s="158" t="n">
        <x:v>-0.3964246753795919</x:v>
      </x:c>
      <x:c r="I43" s="157" t="n">
        <x:v>-0.012065362537045793</x:v>
      </x:c>
      <x:c r="J43" s="36" t="str">
        <x:v>Leitura real — sequência serpentina</x:v>
      </x:c>
    </x:row>
    <x:row r="44">
      <x:c r="A44" s="40" t="n">
        <x:v>32</x:v>
      </x:c>
      <x:c r="B44" s="41" t="n">
        <x:v>2.7</x:v>
      </x:c>
      <x:c r="C44" s="41" t="n">
        <x:v>-1.75</x:v>
      </x:c>
      <x:c r="D44" s="161" t="n">
        <x:v>6.850758958393903</x:v>
      </x:c>
      <x:c r="E44" s="161" t="n">
        <x:v>33.2492410416061</x:v>
      </x:c>
      <x:c r="F44" s="162" t="n">
        <x:v>30.7938</x:v>
      </x:c>
      <x:c r="G44" s="158" t="n">
        <x:v>9.3062</x:v>
      </x:c>
      <x:c r="H44" s="158" t="n">
        <x:v>-2.4554410416060968</x:v>
      </x:c>
      <x:c r="I44" s="157" t="n">
        <x:v>-0.07384953655133077</x:v>
      </x:c>
      <x:c r="J44" s="36" t="str">
        <x:v>Leitura real — sequência serpentina</x:v>
      </x:c>
    </x:row>
    <x:row r="45">
      <x:c r="A45" s="40" t="n">
        <x:v>33</x:v>
      </x:c>
      <x:c r="B45" s="41" t="n">
        <x:v>2.95</x:v>
      </x:c>
      <x:c r="C45" s="41" t="n">
        <x:v>-1.75</x:v>
      </x:c>
      <x:c r="D45" s="161" t="n">
        <x:v>6.445541604736483</x:v>
      </x:c>
      <x:c r="E45" s="161" t="n">
        <x:v>33.65445839526352</x:v>
      </x:c>
      <x:c r="F45" s="162" t="n">
        <x:v>34.0312</x:v>
      </x:c>
      <x:c r="G45" s="158" t="n">
        <x:v>6.068800000000003</x:v>
      </x:c>
      <x:c r="H45" s="158" t="n">
        <x:v>0.37674160473648044</x:v>
      </x:c>
      <x:c r="I45" s="157" t="n">
        <x:v>0.011194404031458207</x:v>
      </x:c>
      <x:c r="J45" s="36" t="str">
        <x:v>Leitura real — sequência serpentina</x:v>
      </x:c>
    </x:row>
    <x:row r="46">
      <x:c r="A46" s="40" t="n">
        <x:v>34</x:v>
      </x:c>
      <x:c r="B46" s="41" t="n">
        <x:v>3.2</x:v>
      </x:c>
      <x:c r="C46" s="41" t="n">
        <x:v>-1.75</x:v>
      </x:c>
      <x:c r="D46" s="161" t="n">
        <x:v>6.0449123593594445</x:v>
      </x:c>
      <x:c r="E46" s="161" t="n">
        <x:v>34.05508764064056</x:v>
      </x:c>
      <x:c r="F46" s="162" t="n">
        <x:v>36.0103</x:v>
      </x:c>
      <x:c r="G46" s="158" t="n">
        <x:v>4.089700000000001</x:v>
      </x:c>
      <x:c r="H46" s="158" t="n">
        <x:v>1.955212359359443</x:v>
      </x:c>
      <x:c r="I46" s="157" t="n">
        <x:v>0.057413223539208795</x:v>
      </x:c>
      <x:c r="J46" s="36" t="str">
        <x:v>Leitura real — sequência serpentina</x:v>
      </x:c>
    </x:row>
    <x:row r="47">
      <x:c r="A47" s="40" t="n">
        <x:v>35</x:v>
      </x:c>
      <x:c r="B47" s="41" t="n">
        <x:v>-0.8</x:v>
      </x:c>
      <x:c r="C47" s="41" t="n">
        <x:v>-1.5</x:v>
      </x:c>
      <x:c r="D47" s="161" t="n">
        <x:v>6.485340964666522</x:v>
      </x:c>
      <x:c r="E47" s="161" t="n">
        <x:v>33.61465903533348</x:v>
      </x:c>
      <x:c r="F47" s="162" t="n">
        <x:v>32.1943</x:v>
      </x:c>
      <x:c r="G47" s="158" t="n">
        <x:v>7.905700000000003</x:v>
      </x:c>
      <x:c r="H47" s="158" t="n">
        <x:v>-1.4203590353334832</x:v>
      </x:c>
      <x:c r="I47" s="157" t="n">
        <x:v>-0.042254155659901135</x:v>
      </x:c>
      <x:c r="J47" s="36" t="str">
        <x:v>Leitura real — sequência serpentina</x:v>
      </x:c>
    </x:row>
    <x:row r="48">
      <x:c r="A48" s="40" t="n">
        <x:v>36</x:v>
      </x:c>
      <x:c r="B48" s="41" t="n">
        <x:v>-0.55</x:v>
      </x:c>
      <x:c r="C48" s="41" t="n">
        <x:v>-1.5</x:v>
      </x:c>
      <x:c r="D48" s="161" t="n">
        <x:v>6.986293464352248</x:v>
      </x:c>
      <x:c r="E48" s="161" t="n">
        <x:v>33.11370653564775</x:v>
      </x:c>
      <x:c r="F48" s="162" t="n">
        <x:v>35.2636</x:v>
      </x:c>
      <x:c r="G48" s="158" t="n">
        <x:v>4.836400000000005</x:v>
      </x:c>
      <x:c r="H48" s="158" t="n">
        <x:v>2.149893464352246</x:v>
      </x:c>
      <x:c r="I48" s="157" t="n">
        <x:v>0.06492457925354357</x:v>
      </x:c>
      <x:c r="J48" s="36" t="str">
        <x:v>Leitura real — sequência serpentina</x:v>
      </x:c>
    </x:row>
    <x:row r="49">
      <x:c r="A49" s="40" t="n">
        <x:v>37</x:v>
      </x:c>
      <x:c r="B49" s="41" t="n">
        <x:v>-0.30000000000000004</x:v>
      </x:c>
      <x:c r="C49" s="41" t="n">
        <x:v>-1.5</x:v>
      </x:c>
      <x:c r="D49" s="161" t="n">
        <x:v>7.505056340515613</x:v>
      </x:c>
      <x:c r="E49" s="161" t="n">
        <x:v>32.594943659484386</x:v>
      </x:c>
      <x:c r="F49" s="162" t="n">
        <x:v>32.0015</x:v>
      </x:c>
      <x:c r="G49" s="158" t="n">
        <x:v>8.098500000000001</x:v>
      </x:c>
      <x:c r="H49" s="158" t="n">
        <x:v>-0.5934436594843859</x:v>
      </x:c>
      <x:c r="I49" s="157" t="n">
        <x:v>-0.018206617127000536</x:v>
      </x:c>
      <x:c r="J49" s="36" t="str">
        <x:v>Leitura real — sequência serpentina</x:v>
      </x:c>
    </x:row>
    <x:row r="50">
      <x:c r="A50" s="40" t="n">
        <x:v>38</x:v>
      </x:c>
      <x:c r="B50" s="41" t="n">
        <x:v>-0.050000000000000044</x:v>
      </x:c>
      <x:c r="C50" s="41" t="n">
        <x:v>-1.5</x:v>
      </x:c>
      <x:c r="D50" s="161" t="n">
        <x:v>8.017938711213256</x:v>
      </x:c>
      <x:c r="E50" s="161" t="n">
        <x:v>32.08206128878675</x:v>
      </x:c>
      <x:c r="F50" s="162" t="n">
        <x:v>31.6142</x:v>
      </x:c>
      <x:c r="G50" s="158" t="n">
        <x:v>8.485800000000001</x:v>
      </x:c>
      <x:c r="H50" s="158" t="n">
        <x:v>-0.4678612887867466</x:v>
      </x:c>
      <x:c r="I50" s="157" t="n">
        <x:v>-0.014583267720091055</x:v>
      </x:c>
      <x:c r="J50" s="36" t="str">
        <x:v>Leitura real — sequência serpentina</x:v>
      </x:c>
    </x:row>
    <x:row r="51">
      <x:c r="A51" s="40" t="n">
        <x:v>39</x:v>
      </x:c>
      <x:c r="B51" s="41" t="n">
        <x:v>0.19999999999999996</x:v>
      </x:c>
      <x:c r="C51" s="41" t="n">
        <x:v>-1.5</x:v>
      </x:c>
      <x:c r="D51" s="161" t="n">
        <x:v>8.494491002345056</x:v>
      </x:c>
      <x:c r="E51" s="161" t="n">
        <x:v>31.605508997654944</x:v>
      </x:c>
      <x:c r="F51" s="162" t="n">
        <x:v>33.2142</x:v>
      </x:c>
      <x:c r="G51" s="158" t="n">
        <x:v>6.885800000000003</x:v>
      </x:c>
      <x:c r="H51" s="158" t="n">
        <x:v>1.6086910023450542</x:v>
      </x:c>
      <x:c r="I51" s="157" t="n">
        <x:v>0.05089906960411286</x:v>
      </x:c>
      <x:c r="J51" s="36" t="str">
        <x:v>Leitura real — sequência serpentina</x:v>
      </x:c>
    </x:row>
    <x:row r="52">
      <x:c r="A52" s="40" t="n">
        <x:v>40</x:v>
      </x:c>
      <x:c r="B52" s="41" t="n">
        <x:v>0.44999999999999996</x:v>
      </x:c>
      <x:c r="C52" s="41" t="n">
        <x:v>-1.5</x:v>
      </x:c>
      <x:c r="D52" s="161" t="n">
        <x:v>8.902553432714495</x:v>
      </x:c>
      <x:c r="E52" s="161" t="n">
        <x:v>31.197446567285507</x:v>
      </x:c>
      <x:c r="F52" s="162" t="n">
        <x:v>33.5566</x:v>
      </x:c>
      <x:c r="G52" s="158" t="n">
        <x:v>6.543399999999998</x:v>
      </x:c>
      <x:c r="H52" s="158" t="n">
        <x:v>2.3591534327144963</x:v>
      </x:c>
      <x:c r="I52" s="157" t="n">
        <x:v>0.07562008088150295</x:v>
      </x:c>
      <x:c r="J52" s="36" t="str">
        <x:v>Leitura real — sequência serpentina</x:v>
      </x:c>
    </x:row>
    <x:row r="53">
      <x:c r="A53" s="40" t="n">
        <x:v>41</x:v>
      </x:c>
      <x:c r="B53" s="41" t="n">
        <x:v>0.7</x:v>
      </x:c>
      <x:c r="C53" s="41" t="n">
        <x:v>-1.5</x:v>
      </x:c>
      <x:c r="D53" s="161" t="n">
        <x:v>9.214053179486374</x:v>
      </x:c>
      <x:c r="E53" s="161" t="n">
        <x:v>30.885946820513627</x:v>
      </x:c>
      <x:c r="F53" s="162" t="n">
        <x:v>31.7754</x:v>
      </x:c>
      <x:c r="G53" s="158" t="n">
        <x:v>8.3246</x:v>
      </x:c>
      <x:c r="H53" s="158" t="n">
        <x:v>0.8894531794863738</x:v>
      </x:c>
      <x:c r="I53" s="157" t="n">
        <x:v>0.028797989734788462</x:v>
      </x:c>
      <x:c r="J53" s="36" t="str">
        <x:v>Leitura real — sequência serpentina</x:v>
      </x:c>
    </x:row>
    <x:row r="54">
      <x:c r="A54" s="40" t="n">
        <x:v>42</x:v>
      </x:c>
      <x:c r="B54" s="41" t="n">
        <x:v>0.95</x:v>
      </x:c>
      <x:c r="C54" s="41" t="n">
        <x:v>-1.5</x:v>
      </x:c>
      <x:c r="D54" s="161" t="n">
        <x:v>9.408705043929048</x:v>
      </x:c>
      <x:c r="E54" s="161" t="n">
        <x:v>30.691294956070955</x:v>
      </x:c>
      <x:c r="F54" s="162" t="n">
        <x:v>29.8002</x:v>
      </x:c>
      <x:c r="G54" s="158" t="n">
        <x:v>10.299800000000001</x:v>
      </x:c>
      <x:c r="H54" s="158" t="n">
        <x:v>-0.8910949560709547</x:v>
      </x:c>
      <x:c r="I54" s="157" t="n">
        <x:v>-0.029034127017005838</x:v>
      </x:c>
      <x:c r="J54" s="36" t="str">
        <x:v>Leitura real — sequência serpentina</x:v>
      </x:c>
    </x:row>
    <x:row r="55">
      <x:c r="A55" s="40" t="n">
        <x:v>43</x:v>
      </x:c>
      <x:c r="B55" s="41" t="n">
        <x:v>1.2</x:v>
      </x:c>
      <x:c r="C55" s="41" t="n">
        <x:v>-1.5</x:v>
      </x:c>
      <x:c r="D55" s="161" t="n">
        <x:v>9.474835266637285</x:v>
      </x:c>
      <x:c r="E55" s="161" t="n">
        <x:v>30.625164733362716</x:v>
      </x:c>
      <x:c r="F55" s="162" t="n">
        <x:v>29.2973</x:v>
      </x:c>
      <x:c r="G55" s="158" t="n">
        <x:v>10.802700000000002</x:v>
      </x:c>
      <x:c r="H55" s="158" t="n">
        <x:v>-1.3278647333627163</x:v>
      </x:c>
      <x:c r="I55" s="157" t="n">
        <x:v>-0.04335861520823609</x:v>
      </x:c>
      <x:c r="J55" s="36" t="str">
        <x:v>Leitura real — sequência serpentina</x:v>
      </x:c>
    </x:row>
    <x:row r="56">
      <x:c r="A56" s="40" t="n">
        <x:v>44</x:v>
      </x:c>
      <x:c r="B56" s="41" t="n">
        <x:v>1.45</x:v>
      </x:c>
      <x:c r="C56" s="41" t="n">
        <x:v>-1.5</x:v>
      </x:c>
      <x:c r="D56" s="161" t="n">
        <x:v>9.408705043929048</x:v>
      </x:c>
      <x:c r="E56" s="161" t="n">
        <x:v>30.691294956070955</x:v>
      </x:c>
      <x:c r="F56" s="162" t="n">
        <x:v>34.1162</x:v>
      </x:c>
      <x:c r="G56" s="158" t="n">
        <x:v>5.983800000000002</x:v>
      </x:c>
      <x:c r="H56" s="158" t="n">
        <x:v>3.4249050439290443</x:v>
      </x:c>
      <x:c r="I56" s="157" t="n">
        <x:v>0.11159206702849056</x:v>
      </x:c>
      <x:c r="J56" s="36" t="str">
        <x:v>Leitura real — sequência serpentina</x:v>
      </x:c>
    </x:row>
    <x:row r="57">
      <x:c r="A57" s="40" t="n">
        <x:v>45</x:v>
      </x:c>
      <x:c r="B57" s="41" t="n">
        <x:v>1.7</x:v>
      </x:c>
      <x:c r="C57" s="41" t="n">
        <x:v>-1.5</x:v>
      </x:c>
      <x:c r="D57" s="161" t="n">
        <x:v>9.214053179486374</x:v>
      </x:c>
      <x:c r="E57" s="161" t="n">
        <x:v>30.885946820513627</x:v>
      </x:c>
      <x:c r="F57" s="162" t="n">
        <x:v>32.5063</x:v>
      </x:c>
      <x:c r="G57" s="158" t="n">
        <x:v>7.593699999999998</x:v>
      </x:c>
      <x:c r="H57" s="158" t="n">
        <x:v>1.6203531794863757</x:v>
      </x:c>
      <x:c r="I57" s="157" t="n">
        <x:v>0.052462473917431605</x:v>
      </x:c>
      <x:c r="J57" s="36" t="str">
        <x:v>Leitura real — sequência serpentina</x:v>
      </x:c>
    </x:row>
    <x:row r="58">
      <x:c r="A58" s="40" t="n">
        <x:v>46</x:v>
      </x:c>
      <x:c r="B58" s="41" t="n">
        <x:v>1.95</x:v>
      </x:c>
      <x:c r="C58" s="41" t="n">
        <x:v>-1.5</x:v>
      </x:c>
      <x:c r="D58" s="161" t="n">
        <x:v>8.902553432714495</x:v>
      </x:c>
      <x:c r="E58" s="161" t="n">
        <x:v>31.197446567285507</x:v>
      </x:c>
      <x:c r="F58" s="162" t="n">
        <x:v>33.0782</x:v>
      </x:c>
      <x:c r="G58" s="158" t="n">
        <x:v>7.021799999999999</x:v>
      </x:c>
      <x:c r="H58" s="158" t="n">
        <x:v>1.8807534327144957</x:v>
      </x:c>
      <x:c r="I58" s="157" t="n">
        <x:v>0.0602854925533138</x:v>
      </x:c>
      <x:c r="J58" s="36" t="str">
        <x:v>Leitura real — sequência serpentina</x:v>
      </x:c>
    </x:row>
    <x:row r="59">
      <x:c r="A59" s="40" t="n">
        <x:v>47</x:v>
      </x:c>
      <x:c r="B59" s="41" t="n">
        <x:v>2.2</x:v>
      </x:c>
      <x:c r="C59" s="41" t="n">
        <x:v>-1.5</x:v>
      </x:c>
      <x:c r="D59" s="161" t="n">
        <x:v>8.494491002345056</x:v>
      </x:c>
      <x:c r="E59" s="161" t="n">
        <x:v>31.605508997654944</x:v>
      </x:c>
      <x:c r="F59" s="162" t="n">
        <x:v>36.6587</x:v>
      </x:c>
      <x:c r="G59" s="158" t="n">
        <x:v>3.4412999999999982</x:v>
      </x:c>
      <x:c r="H59" s="158" t="n">
        <x:v>5.053191002345059</x:v>
      </x:c>
      <x:c r="I59" s="157" t="n">
        <x:v>0.15988323436651486</x:v>
      </x:c>
      <x:c r="J59" s="36" t="str">
        <x:v>Leitura real — sequência serpentina</x:v>
      </x:c>
    </x:row>
    <x:row r="60">
      <x:c r="A60" s="40" t="n">
        <x:v>48</x:v>
      </x:c>
      <x:c r="B60" s="41" t="n">
        <x:v>2.45</x:v>
      </x:c>
      <x:c r="C60" s="41" t="n">
        <x:v>-1.5</x:v>
      </x:c>
      <x:c r="D60" s="161" t="n">
        <x:v>8.017938711213256</x:v>
      </x:c>
      <x:c r="E60" s="161" t="n">
        <x:v>32.08206128878675</x:v>
      </x:c>
      <x:c r="F60" s="162" t="n">
        <x:v>30.584</x:v>
      </x:c>
      <x:c r="G60" s="158" t="n">
        <x:v>9.516000000000002</x:v>
      </x:c>
      <x:c r="H60" s="158" t="n">
        <x:v>-1.4980612887867473</x:v>
      </x:c>
      <x:c r="I60" s="157" t="n">
        <x:v>-0.046694670747678746</x:v>
      </x:c>
      <x:c r="J60" s="36" t="str">
        <x:v>Leitura real — sequência serpentina</x:v>
      </x:c>
    </x:row>
    <x:row r="61">
      <x:c r="A61" s="40" t="n">
        <x:v>49</x:v>
      </x:c>
      <x:c r="B61" s="41" t="n">
        <x:v>2.7</x:v>
      </x:c>
      <x:c r="C61" s="41" t="n">
        <x:v>-1.5</x:v>
      </x:c>
      <x:c r="D61" s="161" t="n">
        <x:v>7.505056340515612</x:v>
      </x:c>
      <x:c r="E61" s="161" t="n">
        <x:v>32.594943659484386</x:v>
      </x:c>
      <x:c r="F61" s="162" t="n">
        <x:v>38.593</x:v>
      </x:c>
      <x:c r="G61" s="158" t="n">
        <x:v>1.506999999999998</x:v>
      </x:c>
      <x:c r="H61" s="158" t="n">
        <x:v>5.9980563405156175</x:v>
      </x:c>
      <x:c r="I61" s="157" t="n">
        <x:v>0.18401799994430484</x:v>
      </x:c>
      <x:c r="J61" s="36" t="str">
        <x:v>Leitura real — sequência serpentina</x:v>
      </x:c>
    </x:row>
    <x:row r="62">
      <x:c r="A62" s="40" t="n">
        <x:v>50</x:v>
      </x:c>
      <x:c r="B62" s="41" t="n">
        <x:v>2.95</x:v>
      </x:c>
      <x:c r="C62" s="41" t="n">
        <x:v>-1.5</x:v>
      </x:c>
      <x:c r="D62" s="161" t="n">
        <x:v>6.986293464352247</x:v>
      </x:c>
      <x:c r="E62" s="161" t="n">
        <x:v>33.11370653564775</x:v>
      </x:c>
      <x:c r="F62" s="162" t="n">
        <x:v>39.4042</x:v>
      </x:c>
      <x:c r="G62" s="158" t="n">
        <x:v>0.6957999999999984</x:v>
      </x:c>
      <x:c r="H62" s="158" t="n">
        <x:v>6.290493464352252</x:v>
      </x:c>
      <x:c r="I62" s="157" t="n">
        <x:v>0.18996645566029813</x:v>
      </x:c>
      <x:c r="J62" s="36" t="str">
        <x:v>Leitura real — sequência serpentina</x:v>
      </x:c>
    </x:row>
    <x:row r="63">
      <x:c r="A63" s="40" t="n">
        <x:v>51</x:v>
      </x:c>
      <x:c r="B63" s="41" t="n">
        <x:v>3.2</x:v>
      </x:c>
      <x:c r="C63" s="41" t="n">
        <x:v>-1.5</x:v>
      </x:c>
      <x:c r="D63" s="161" t="n">
        <x:v>6.485340964666521</x:v>
      </x:c>
      <x:c r="E63" s="161" t="n">
        <x:v>33.61465903533348</x:v>
      </x:c>
      <x:c r="F63" s="162" t="n">
        <x:v>37.5749</x:v>
      </x:c>
      <x:c r="G63" s="158" t="n">
        <x:v>2.525100000000002</x:v>
      </x:c>
      <x:c r="H63" s="158" t="n">
        <x:v>3.960240964666518</x:v>
      </x:c>
      <x:c r="I63" s="157" t="n">
        <x:v>0.11781291491024132</x:v>
      </x:c>
      <x:c r="J63" s="36" t="str">
        <x:v>Leitura real — sequência serpentina</x:v>
      </x:c>
    </x:row>
    <x:row r="64">
      <x:c r="A64" s="40" t="n">
        <x:v>52</x:v>
      </x:c>
      <x:c r="B64" s="41" t="n">
        <x:v>-0.8</x:v>
      </x:c>
      <x:c r="C64" s="41" t="n">
        <x:v>-1.25</x:v>
      </x:c>
      <x:c r="D64" s="161" t="n">
        <x:v>6.96145224369861</x:v>
      </x:c>
      <x:c r="E64" s="161" t="n">
        <x:v>33.13854775630139</x:v>
      </x:c>
      <x:c r="F64" s="162" t="n">
        <x:v>33.6054</x:v>
      </x:c>
      <x:c r="G64" s="158" t="n">
        <x:v>6.494599999999998</x:v>
      </x:c>
      <x:c r="H64" s="158" t="n">
        <x:v>0.4668522436986109</x:v>
      </x:c>
      <x:c r="I64" s="157" t="n">
        <x:v>0.014087890849406265</x:v>
      </x:c>
      <x:c r="J64" s="36" t="str">
        <x:v>Leitura real — sequência serpentina</x:v>
      </x:c>
    </x:row>
    <x:row r="65">
      <x:c r="A65" s="40" t="n">
        <x:v>53</x:v>
      </x:c>
      <x:c r="B65" s="41" t="n">
        <x:v>-0.55</x:v>
      </x:c>
      <x:c r="C65" s="41" t="n">
        <x:v>-1.25</x:v>
      </x:c>
      <x:c r="D65" s="161" t="n">
        <x:v>7.59372727299904</x:v>
      </x:c>
      <x:c r="E65" s="161" t="n">
        <x:v>32.50627272700096</x:v>
      </x:c>
      <x:c r="F65" s="162" t="n">
        <x:v>31.0774</x:v>
      </x:c>
      <x:c r="G65" s="158" t="n">
        <x:v>9.0226</x:v>
      </x:c>
      <x:c r="H65" s="158" t="n">
        <x:v>-1.428872727000961</x:v>
      </x:c>
      <x:c r="I65" s="157" t="n">
        <x:v>-0.043956830701604374</x:v>
      </x:c>
      <x:c r="J65" s="36" t="str">
        <x:v>Leitura real — sequência serpentina</x:v>
      </x:c>
    </x:row>
    <x:row r="66">
      <x:c r="A66" s="40" t="n">
        <x:v>54</x:v>
      </x:c>
      <x:c r="B66" s="41" t="n">
        <x:v>-0.30000000000000004</x:v>
      </x:c>
      <x:c r="C66" s="41" t="n">
        <x:v>-1.25</x:v>
      </x:c>
      <x:c r="D66" s="161" t="n">
        <x:v>8.268581395621192</x:v>
      </x:c>
      <x:c r="E66" s="161" t="n">
        <x:v>31.83141860437881</x:v>
      </x:c>
      <x:c r="F66" s="162" t="n">
        <x:v>34.5626</x:v>
      </x:c>
      <x:c r="G66" s="158" t="n">
        <x:v>5.537399999999998</x:v>
      </x:c>
      <x:c r="H66" s="158" t="n">
        <x:v>2.731181395621192</x:v>
      </x:c>
      <x:c r="I66" s="157" t="n">
        <x:v>0.08580143504020533</x:v>
      </x:c>
      <x:c r="J66" s="36" t="str">
        <x:v>Leitura real — sequência serpentina</x:v>
      </x:c>
    </x:row>
    <x:row r="67">
      <x:c r="A67" s="40" t="n">
        <x:v>55</x:v>
      </x:c>
      <x:c r="B67" s="41" t="n">
        <x:v>-0.050000000000000044</x:v>
      </x:c>
      <x:c r="C67" s="41" t="n">
        <x:v>-1.25</x:v>
      </x:c>
      <x:c r="D67" s="161" t="n">
        <x:v>8.9525684555204</x:v>
      </x:c>
      <x:c r="E67" s="161" t="n">
        <x:v>31.147431544479602</x:v>
      </x:c>
      <x:c r="F67" s="162" t="n">
        <x:v>29.1181</x:v>
      </x:c>
      <x:c r="G67" s="158" t="n">
        <x:v>10.981900000000003</x:v>
      </x:c>
      <x:c r="H67" s="158" t="n">
        <x:v>-2.0293315444796036</x:v>
      </x:c>
      <x:c r="I67" s="157" t="n">
        <x:v>-0.06515245218796448</x:v>
      </x:c>
      <x:c r="J67" s="36" t="str">
        <x:v>Leitura real — sequência serpentina</x:v>
      </x:c>
    </x:row>
    <x:row r="68">
      <x:c r="A68" s="40" t="n">
        <x:v>56</x:v>
      </x:c>
      <x:c r="B68" s="41" t="n">
        <x:v>0.19999999999999996</x:v>
      </x:c>
      <x:c r="C68" s="41" t="n">
        <x:v>-1.25</x:v>
      </x:c>
      <x:c r="D68" s="161" t="n">
        <x:v>9.598047104376016</x:v>
      </x:c>
      <x:c r="E68" s="161" t="n">
        <x:v>30.501952895623987</x:v>
      </x:c>
      <x:c r="F68" s="162" t="n">
        <x:v>27.4439</x:v>
      </x:c>
      <x:c r="G68" s="158" t="n">
        <x:v>12.656100000000002</x:v>
      </x:c>
      <x:c r="H68" s="158" t="n">
        <x:v>-3.0580528956239874</x:v>
      </x:c>
      <x:c r="I68" s="157" t="n">
        <x:v>-0.10025760993364842</x:v>
      </x:c>
      <x:c r="J68" s="36" t="str">
        <x:v>Leitura real — sequência serpentina</x:v>
      </x:c>
    </x:row>
    <x:row r="69">
      <x:c r="A69" s="40" t="n">
        <x:v>57</x:v>
      </x:c>
      <x:c r="B69" s="41" t="n">
        <x:v>0.44999999999999996</x:v>
      </x:c>
      <x:c r="C69" s="41" t="n">
        <x:v>-1.25</x:v>
      </x:c>
      <x:c r="D69" s="161" t="n">
        <x:v>10.153685593232133</x:v>
      </x:c>
      <x:c r="E69" s="161" t="n">
        <x:v>29.94631440676787</x:v>
      </x:c>
      <x:c r="F69" s="162" t="n">
        <x:v>27.9091</x:v>
      </x:c>
      <x:c r="G69" s="158" t="n">
        <x:v>12.190900000000003</x:v>
      </x:c>
      <x:c r="H69" s="158" t="n">
        <x:v>-2.0372144067678697</x:v>
      </x:c>
      <x:c r="I69" s="157" t="n">
        <x:v>-0.06802888592886272</x:v>
      </x:c>
      <x:c r="J69" s="36" t="str">
        <x:v>Leitura real — sequência serpentina</x:v>
      </x:c>
    </x:row>
    <x:row r="70">
      <x:c r="A70" s="40" t="n">
        <x:v>58</x:v>
      </x:c>
      <x:c r="B70" s="41" t="n">
        <x:v>0.7</x:v>
      </x:c>
      <x:c r="C70" s="41" t="n">
        <x:v>-1.25</x:v>
      </x:c>
      <x:c r="D70" s="161" t="n">
        <x:v>10.576925434229056</x:v>
      </x:c>
      <x:c r="E70" s="161" t="n">
        <x:v>29.523074565770948</x:v>
      </x:c>
      <x:c r="F70" s="162" t="n">
        <x:v>27.46</x:v>
      </x:c>
      <x:c r="G70" s="158" t="n">
        <x:v>12.64</x:v>
      </x:c>
      <x:c r="H70" s="158" t="n">
        <x:v>-2.063074565770947</x:v>
      </x:c>
      <x:c r="I70" s="157" t="n">
        <x:v>-0.06988007164277109</x:v>
      </x:c>
      <x:c r="J70" s="36" t="str">
        <x:v>Leitura real — sequência serpentina</x:v>
      </x:c>
    </x:row>
    <x:row r="71">
      <x:c r="A71" s="40" t="n">
        <x:v>59</x:v>
      </x:c>
      <x:c r="B71" s="41" t="n">
        <x:v>0.95</x:v>
      </x:c>
      <x:c r="C71" s="41" t="n">
        <x:v>-1.25</x:v>
      </x:c>
      <x:c r="D71" s="161" t="n">
        <x:v>10.840104337078996</x:v>
      </x:c>
      <x:c r="E71" s="161" t="n">
        <x:v>29.259895662921004</x:v>
      </x:c>
      <x:c r="F71" s="162" t="n">
        <x:v>27.267</x:v>
      </x:c>
      <x:c r="G71" s="158" t="n">
        <x:v>12.833000000000002</x:v>
      </x:c>
      <x:c r="H71" s="158" t="n">
        <x:v>-1.9928956629210042</x:v>
      </x:c>
      <x:c r="I71" s="157" t="n">
        <x:v>-0.06811014249262891</x:v>
      </x:c>
      <x:c r="J71" s="36" t="str">
        <x:v>Leitura real — sequência serpentina</x:v>
      </x:c>
    </x:row>
    <x:row r="72">
      <x:c r="A72" s="40" t="n">
        <x:v>60</x:v>
      </x:c>
      <x:c r="B72" s="41" t="n">
        <x:v>1.2</x:v>
      </x:c>
      <x:c r="C72" s="41" t="n">
        <x:v>-1.25</x:v>
      </x:c>
      <x:c r="D72" s="161" t="n">
        <x:v>10.929197169982105</x:v>
      </x:c>
      <x:c r="E72" s="161" t="n">
        <x:v>29.170802830017898</x:v>
      </x:c>
      <x:c r="F72" s="162" t="n">
        <x:v>28.0617</x:v>
      </x:c>
      <x:c r="G72" s="158" t="n">
        <x:v>12.038300000000003</x:v>
      </x:c>
      <x:c r="H72" s="158" t="n">
        <x:v>-1.1091028300178998</x:v>
      </x:c>
      <x:c r="I72" s="157" t="n">
        <x:v>-0.03802099093675233</x:v>
      </x:c>
      <x:c r="J72" s="36" t="str">
        <x:v>Leitura real — sequência serpentina</x:v>
      </x:c>
    </x:row>
    <x:row r="73">
      <x:c r="A73" s="40" t="n">
        <x:v>61</x:v>
      </x:c>
      <x:c r="B73" s="41" t="n">
        <x:v>1.45</x:v>
      </x:c>
      <x:c r="C73" s="41" t="n">
        <x:v>-1.25</x:v>
      </x:c>
      <x:c r="D73" s="161" t="n">
        <x:v>10.840104337078996</x:v>
      </x:c>
      <x:c r="E73" s="161" t="n">
        <x:v>29.259895662921004</x:v>
      </x:c>
      <x:c r="F73" s="162" t="n">
        <x:v>31.8668</x:v>
      </x:c>
      <x:c r="G73" s="158" t="n">
        <x:v>8.2332</x:v>
      </x:c>
      <x:c r="H73" s="158" t="n">
        <x:v>2.6069043370789977</x:v>
      </x:c>
      <x:c r="I73" s="157" t="n">
        <x:v>0.08909479265103953</x:v>
      </x:c>
      <x:c r="J73" s="36" t="str">
        <x:v>Leitura real — sequência serpentina</x:v>
      </x:c>
    </x:row>
    <x:row r="74">
      <x:c r="A74" s="40" t="n">
        <x:v>62</x:v>
      </x:c>
      <x:c r="B74" s="41" t="n">
        <x:v>1.7</x:v>
      </x:c>
      <x:c r="C74" s="41" t="n">
        <x:v>-1.25</x:v>
      </x:c>
      <x:c r="D74" s="161" t="n">
        <x:v>10.576925434229056</x:v>
      </x:c>
      <x:c r="E74" s="161" t="n">
        <x:v>29.523074565770948</x:v>
      </x:c>
      <x:c r="F74" s="162" t="n">
        <x:v>30.1395</x:v>
      </x:c>
      <x:c r="G74" s="158" t="n">
        <x:v>9.9605</x:v>
      </x:c>
      <x:c r="H74" s="158" t="n">
        <x:v>0.616425434229054</x:v>
      </x:c>
      <x:c r="I74" s="157" t="n">
        <x:v>0.020879445765575436</x:v>
      </x:c>
      <x:c r="J74" s="36" t="str">
        <x:v>Leitura real — sequência serpentina</x:v>
      </x:c>
    </x:row>
    <x:row r="75">
      <x:c r="A75" s="40" t="n">
        <x:v>63</x:v>
      </x:c>
      <x:c r="B75" s="41" t="n">
        <x:v>1.95</x:v>
      </x:c>
      <x:c r="C75" s="41" t="n">
        <x:v>-1.25</x:v>
      </x:c>
      <x:c r="D75" s="161" t="n">
        <x:v>10.153685593232133</x:v>
      </x:c>
      <x:c r="E75" s="161" t="n">
        <x:v>29.94631440676787</x:v>
      </x:c>
      <x:c r="F75" s="162" t="n">
        <x:v>29.4129</x:v>
      </x:c>
      <x:c r="G75" s="158" t="n">
        <x:v>10.687100000000001</x:v>
      </x:c>
      <x:c r="H75" s="158" t="n">
        <x:v>-0.5334144067678679</x:v>
      </x:c>
      <x:c r="I75" s="157" t="n">
        <x:v>-0.017812355788507858</x:v>
      </x:c>
      <x:c r="J75" s="36" t="str">
        <x:v>Leitura real — sequência serpentina</x:v>
      </x:c>
    </x:row>
    <x:row r="76">
      <x:c r="A76" s="40" t="n">
        <x:v>64</x:v>
      </x:c>
      <x:c r="B76" s="41" t="n">
        <x:v>2.2</x:v>
      </x:c>
      <x:c r="C76" s="41" t="n">
        <x:v>-1.25</x:v>
      </x:c>
      <x:c r="D76" s="161" t="n">
        <x:v>9.598047104376015</x:v>
      </x:c>
      <x:c r="E76" s="161" t="n">
        <x:v>30.501952895623987</x:v>
      </x:c>
      <x:c r="F76" s="162" t="n">
        <x:v>30.5434</x:v>
      </x:c>
      <x:c r="G76" s="158" t="n">
        <x:v>9.556600000000003</x:v>
      </x:c>
      <x:c r="H76" s="158" t="n">
        <x:v>0.04144710437601162</x:v>
      </x:c>
      <x:c r="I76" s="157" t="n">
        <x:v>0.0013588344496446292</x:v>
      </x:c>
      <x:c r="J76" s="36" t="str">
        <x:v>Leitura real — sequência serpentina</x:v>
      </x:c>
    </x:row>
    <x:row r="77">
      <x:c r="A77" s="40" t="n">
        <x:v>65</x:v>
      </x:c>
      <x:c r="B77" s="41" t="n">
        <x:v>2.45</x:v>
      </x:c>
      <x:c r="C77" s="41" t="n">
        <x:v>-1.25</x:v>
      </x:c>
      <x:c r="D77" s="161" t="n">
        <x:v>8.952568455520398</x:v>
      </x:c>
      <x:c r="E77" s="161" t="n">
        <x:v>31.147431544479602</x:v>
      </x:c>
      <x:c r="F77" s="162" t="n">
        <x:v>30.3135</x:v>
      </x:c>
      <x:c r="G77" s="158" t="n">
        <x:v>9.7865</x:v>
      </x:c>
      <x:c r="H77" s="158" t="n">
        <x:v>-0.8339315444796007</x:v>
      </x:c>
      <x:c r="I77" s="157" t="n">
        <x:v>-0.02677368576245903</x:v>
      </x:c>
      <x:c r="J77" s="36" t="str">
        <x:v>Leitura real — sequência serpentina</x:v>
      </x:c>
    </x:row>
    <x:row r="78">
      <x:c r="A78" s="40" t="n">
        <x:v>66</x:v>
      </x:c>
      <x:c r="B78" s="41" t="n">
        <x:v>2.7</x:v>
      </x:c>
      <x:c r="C78" s="41" t="n">
        <x:v>-1.25</x:v>
      </x:c>
      <x:c r="D78" s="161" t="n">
        <x:v>8.26858139562119</x:v>
      </x:c>
      <x:c r="E78" s="161" t="n">
        <x:v>31.83141860437881</x:v>
      </x:c>
      <x:c r="F78" s="162" t="n">
        <x:v>34.1421</x:v>
      </x:c>
      <x:c r="G78" s="158" t="n">
        <x:v>5.957900000000002</x:v>
      </x:c>
      <x:c r="H78" s="158" t="n">
        <x:v>2.310681395621188</x:v>
      </x:c>
      <x:c r="I78" s="157" t="n">
        <x:v>0.0725912163808912</x:v>
      </x:c>
      <x:c r="J78" s="36" t="str">
        <x:v>Leitura real — sequência serpentina</x:v>
      </x:c>
    </x:row>
    <x:row r="79">
      <x:c r="A79" s="40" t="n">
        <x:v>67</x:v>
      </x:c>
      <x:c r="B79" s="41" t="n">
        <x:v>2.95</x:v>
      </x:c>
      <x:c r="C79" s="41" t="n">
        <x:v>-1.25</x:v>
      </x:c>
      <x:c r="D79" s="161" t="n">
        <x:v>7.59372727299904</x:v>
      </x:c>
      <x:c r="E79" s="161" t="n">
        <x:v>32.50627272700096</x:v>
      </x:c>
      <x:c r="F79" s="162" t="n">
        <x:v>31.1939</x:v>
      </x:c>
      <x:c r="G79" s="158" t="n">
        <x:v>8.906100000000002</x:v>
      </x:c>
      <x:c r="H79" s="158" t="n">
        <x:v>-1.3123727270009624</x:v>
      </x:c>
      <x:c r="I79" s="157" t="n">
        <x:v>-0.0403729070392883</x:v>
      </x:c>
      <x:c r="J79" s="36" t="str">
        <x:v>Leitura real — sequência serpentina</x:v>
      </x:c>
    </x:row>
    <x:row r="80">
      <x:c r="A80" s="40" t="n">
        <x:v>68</x:v>
      </x:c>
      <x:c r="B80" s="41" t="n">
        <x:v>3.2</x:v>
      </x:c>
      <x:c r="C80" s="41" t="n">
        <x:v>-1.25</x:v>
      </x:c>
      <x:c r="D80" s="161" t="n">
        <x:v>6.961452243698607</x:v>
      </x:c>
      <x:c r="E80" s="161" t="n">
        <x:v>33.13854775630139</x:v>
      </x:c>
      <x:c r="F80" s="162" t="n">
        <x:v>35.2167</x:v>
      </x:c>
      <x:c r="G80" s="158" t="n">
        <x:v>4.883299999999998</x:v>
      </x:c>
      <x:c r="H80" s="158" t="n">
        <x:v>2.078152243698611</x:v>
      </x:c>
      <x:c r="I80" s="157" t="n">
        <x:v>0.06271102339731964</x:v>
      </x:c>
      <x:c r="J80" s="36" t="str">
        <x:v>Leitura real — sequência serpentina</x:v>
      </x:c>
    </x:row>
    <x:row r="81">
      <x:c r="A81" s="40" t="n">
        <x:v>69</x:v>
      </x:c>
      <x:c r="B81" s="41" t="n">
        <x:v>-0.8</x:v>
      </x:c>
      <x:c r="C81" s="41" t="n">
        <x:v>-1</x:v>
      </x:c>
      <x:c r="D81" s="161" t="n">
        <x:v>7.463264755385942</x:v>
      </x:c>
      <x:c r="E81" s="161" t="n">
        <x:v>32.63673524461406</x:v>
      </x:c>
      <x:c r="F81" s="162" t="n">
        <x:v>29.7886</x:v>
      </x:c>
      <x:c r="G81" s="158" t="n">
        <x:v>10.311400000000003</x:v>
      </x:c>
      <x:c r="H81" s="158" t="n">
        <x:v>-2.8481352446140598</x:v>
      </x:c>
      <x:c r="I81" s="157" t="n">
        <x:v>-0.08726777428156142</x:v>
      </x:c>
      <x:c r="J81" s="36" t="str">
        <x:v>Leitura real — sequência serpentina</x:v>
      </x:c>
    </x:row>
    <x:row r="82">
      <x:c r="A82" s="40" t="n">
        <x:v>70</x:v>
      </x:c>
      <x:c r="B82" s="41" t="n">
        <x:v>-0.55</x:v>
      </x:c>
      <x:c r="C82" s="41" t="n">
        <x:v>-1</x:v>
      </x:c>
      <x:c r="D82" s="161" t="n">
        <x:v>8.26708199305721</x:v>
      </x:c>
      <x:c r="E82" s="161" t="n">
        <x:v>31.83291800694279</x:v>
      </x:c>
      <x:c r="F82" s="162" t="n">
        <x:v>32.0767</x:v>
      </x:c>
      <x:c r="G82" s="158" t="n">
        <x:v>8.023299999999999</x:v>
      </x:c>
      <x:c r="H82" s="158" t="n">
        <x:v>0.24378199305721182</x:v>
      </x:c>
      <x:c r="I82" s="157" t="n">
        <x:v>0.007658172995766292</x:v>
      </x:c>
      <x:c r="J82" s="36" t="str">
        <x:v>Leitura real — sequência serpentina</x:v>
      </x:c>
    </x:row>
    <x:row r="83">
      <x:c r="A83" s="40" t="n">
        <x:v>71</x:v>
      </x:c>
      <x:c r="B83" s="41" t="n">
        <x:v>-0.30000000000000004</x:v>
      </x:c>
      <x:c r="C83" s="41" t="n">
        <x:v>-1</x:v>
      </x:c>
      <x:c r="D83" s="161" t="n">
        <x:v>9.160435924079437</x:v>
      </x:c>
      <x:c r="E83" s="161" t="n">
        <x:v>30.939564075920565</x:v>
      </x:c>
      <x:c r="F83" s="162" t="n">
        <x:v>27.1176</x:v>
      </x:c>
      <x:c r="G83" s="158" t="n">
        <x:v>12.982400000000002</x:v>
      </x:c>
      <x:c r="H83" s="158" t="n">
        <x:v>-3.8219640759205653</x:v>
      </x:c>
      <x:c r="I83" s="157" t="n">
        <x:v>-0.123529991131811</x:v>
      </x:c>
      <x:c r="J83" s="36" t="str">
        <x:v>Leitura real — sequência serpentina</x:v>
      </x:c>
    </x:row>
    <x:row r="84">
      <x:c r="A84" s="40" t="n">
        <x:v>72</x:v>
      </x:c>
      <x:c r="B84" s="41" t="n">
        <x:v>-0.050000000000000044</x:v>
      </x:c>
      <x:c r="C84" s="41" t="n">
        <x:v>-1</x:v>
      </x:c>
      <x:c r="D84" s="161" t="n">
        <x:v>10.096456109302352</x:v>
      </x:c>
      <x:c r="E84" s="161" t="n">
        <x:v>30.00354389069765</x:v>
      </x:c>
      <x:c r="F84" s="162" t="n">
        <x:v>28.4395</x:v>
      </x:c>
      <x:c r="G84" s="158" t="n">
        <x:v>11.660500000000003</x:v>
      </x:c>
      <x:c r="H84" s="158" t="n">
        <x:v>-1.5640438906976506</x:v>
      </x:c>
      <x:c r="I84" s="157" t="n">
        <x:v>-0.05212863841669615</x:v>
      </x:c>
      <x:c r="J84" s="36" t="str">
        <x:v>Leitura real — sequência serpentina</x:v>
      </x:c>
    </x:row>
    <x:row r="85">
      <x:c r="A85" s="40" t="n">
        <x:v>73</x:v>
      </x:c>
      <x:c r="B85" s="41" t="n">
        <x:v>0.19999999999999996</x:v>
      </x:c>
      <x:c r="C85" s="41" t="n">
        <x:v>-1</x:v>
      </x:c>
      <x:c r="D85" s="161" t="n">
        <x:v>10.995476086700565</x:v>
      </x:c>
      <x:c r="E85" s="161" t="n">
        <x:v>29.104523913299438</x:v>
      </x:c>
      <x:c r="F85" s="162" t="n">
        <x:v>33.4829</x:v>
      </x:c>
      <x:c r="G85" s="158" t="n">
        <x:v>6.617100000000001</x:v>
      </x:c>
      <x:c r="H85" s="158" t="n">
        <x:v>4.3783760867005626</x:v>
      </x:c>
      <x:c r="I85" s="157" t="n">
        <x:v>0.150436272372758</x:v>
      </x:c>
      <x:c r="J85" s="36" t="str">
        <x:v>Leitura real — sequência serpentina</x:v>
      </x:c>
    </x:row>
    <x:row r="86">
      <x:c r="A86" s="40" t="n">
        <x:v>74</x:v>
      </x:c>
      <x:c r="B86" s="41" t="n">
        <x:v>0.44999999999999996</x:v>
      </x:c>
      <x:c r="C86" s="41" t="n">
        <x:v>-1</x:v>
      </x:c>
      <x:c r="D86" s="161" t="n">
        <x:v>11.769344798269115</x:v>
      </x:c>
      <x:c r="E86" s="161" t="n">
        <x:v>28.330655201730885</x:v>
      </x:c>
      <x:c r="F86" s="162" t="n">
        <x:v>27.0789</x:v>
      </x:c>
      <x:c r="G86" s="158" t="n">
        <x:v>13.0211</x:v>
      </x:c>
      <x:c r="H86" s="158" t="n">
        <x:v>-1.2517552017308837</x:v>
      </x:c>
      <x:c r="I86" s="157" t="n">
        <x:v>-0.04418377170657199</x:v>
      </x:c>
      <x:c r="J86" s="36" t="str">
        <x:v>Leitura real — sequência serpentina</x:v>
      </x:c>
    </x:row>
    <x:row r="87">
      <x:c r="A87" s="40" t="n">
        <x:v>75</x:v>
      </x:c>
      <x:c r="B87" s="41" t="n">
        <x:v>0.7</x:v>
      </x:c>
      <x:c r="C87" s="41" t="n">
        <x:v>-1</x:v>
      </x:c>
      <x:c r="D87" s="161" t="n">
        <x:v>12.352160485037682</x:v>
      </x:c>
      <x:c r="E87" s="161" t="n">
        <x:v>27.74783951496232</x:v>
      </x:c>
      <x:c r="F87" s="162" t="n">
        <x:v>29.7655</x:v>
      </x:c>
      <x:c r="G87" s="158" t="n">
        <x:v>10.334500000000002</x:v>
      </x:c>
      <x:c r="H87" s="158" t="n">
        <x:v>2.0176604850376805</x:v>
      </x:c>
      <x:c r="I87" s="157" t="n">
        <x:v>0.07271414713025524</x:v>
      </x:c>
      <x:c r="J87" s="36" t="str">
        <x:v>Leitura real — sequência serpentina</x:v>
      </x:c>
    </x:row>
    <x:row r="88">
      <x:c r="A88" s="40" t="n">
        <x:v>76</x:v>
      </x:c>
      <x:c r="B88" s="41" t="n">
        <x:v>0.95</x:v>
      </x:c>
      <x:c r="C88" s="41" t="n">
        <x:v>-1</x:v>
      </x:c>
      <x:c r="D88" s="161" t="n">
        <x:v>12.70978252411815</x:v>
      </x:c>
      <x:c r="E88" s="161" t="n">
        <x:v>27.39021747588185</x:v>
      </x:c>
      <x:c r="F88" s="162" t="n">
        <x:v>28.1363</x:v>
      </x:c>
      <x:c r="G88" s="158" t="n">
        <x:v>11.963700000000003</x:v>
      </x:c>
      <x:c r="H88" s="158" t="n">
        <x:v>0.7460825241181475</x:v>
      </x:c>
      <x:c r="I88" s="157" t="n">
        <x:v>0.02723901424934293</x:v>
      </x:c>
      <x:c r="J88" s="36" t="str">
        <x:v>Leitura real — sequência serpentina</x:v>
      </x:c>
    </x:row>
    <x:row r="89">
      <x:c r="A89" s="40" t="n">
        <x:v>77</x:v>
      </x:c>
      <x:c r="B89" s="41" t="n">
        <x:v>1.2</x:v>
      </x:c>
      <x:c r="C89" s="41" t="n">
        <x:v>-1</x:v>
      </x:c>
      <x:c r="D89" s="161" t="n">
        <x:v>12.829852311179012</x:v>
      </x:c>
      <x:c r="E89" s="161" t="n">
        <x:v>27.27014768882099</x:v>
      </x:c>
      <x:c r="F89" s="162" t="n">
        <x:v>26.8806</x:v>
      </x:c>
      <x:c r="G89" s="158" t="n">
        <x:v>13.2194</x:v>
      </x:c>
      <x:c r="H89" s="158" t="n">
        <x:v>-0.3895476888209899</x:v>
      </x:c>
      <x:c r="I89" s="157" t="n">
        <x:v>-0.014284766377729572</x:v>
      </x:c>
      <x:c r="J89" s="36" t="str">
        <x:v>Leitura real — sequência serpentina</x:v>
      </x:c>
    </x:row>
    <x:row r="90">
      <x:c r="A90" s="40" t="n">
        <x:v>78</x:v>
      </x:c>
      <x:c r="B90" s="41" t="n">
        <x:v>1.45</x:v>
      </x:c>
      <x:c r="C90" s="41" t="n">
        <x:v>-1</x:v>
      </x:c>
      <x:c r="D90" s="161" t="n">
        <x:v>12.70978252411815</x:v>
      </x:c>
      <x:c r="E90" s="161" t="n">
        <x:v>27.39021747588185</x:v>
      </x:c>
      <x:c r="F90" s="162" t="n">
        <x:v>26.0677</x:v>
      </x:c>
      <x:c r="G90" s="158" t="n">
        <x:v>14.032300000000003</x:v>
      </x:c>
      <x:c r="H90" s="158" t="n">
        <x:v>-1.3225174758818525</x:v>
      </x:c>
      <x:c r="I90" s="157" t="n">
        <x:v>-0.048284299934689474</x:v>
      </x:c>
      <x:c r="J90" s="36" t="str">
        <x:v>Leitura real — sequência serpentina</x:v>
      </x:c>
    </x:row>
    <x:row r="91">
      <x:c r="A91" s="40" t="n">
        <x:v>79</x:v>
      </x:c>
      <x:c r="B91" s="41" t="n">
        <x:v>1.7</x:v>
      </x:c>
      <x:c r="C91" s="41" t="n">
        <x:v>-1</x:v>
      </x:c>
      <x:c r="D91" s="161" t="n">
        <x:v>12.352160485037682</x:v>
      </x:c>
      <x:c r="E91" s="161" t="n">
        <x:v>27.74783951496232</x:v>
      </x:c>
      <x:c r="F91" s="162" t="n">
        <x:v>30.107</x:v>
      </x:c>
      <x:c r="G91" s="158" t="n">
        <x:v>9.993000000000002</x:v>
      </x:c>
      <x:c r="H91" s="158" t="n">
        <x:v>2.3591604850376804</x:v>
      </x:c>
      <x:c r="I91" s="157" t="n">
        <x:v>0.08502141162253597</x:v>
      </x:c>
      <x:c r="J91" s="36" t="str">
        <x:v>Leitura real — sequência serpentina</x:v>
      </x:c>
    </x:row>
    <x:row r="92">
      <x:c r="A92" s="40" t="n">
        <x:v>80</x:v>
      </x:c>
      <x:c r="B92" s="41" t="n">
        <x:v>1.95</x:v>
      </x:c>
      <x:c r="C92" s="41" t="n">
        <x:v>-1</x:v>
      </x:c>
      <x:c r="D92" s="161" t="n">
        <x:v>11.769344798269115</x:v>
      </x:c>
      <x:c r="E92" s="161" t="n">
        <x:v>28.330655201730885</x:v>
      </x:c>
      <x:c r="F92" s="162" t="n">
        <x:v>27.9034</x:v>
      </x:c>
      <x:c r="G92" s="158" t="n">
        <x:v>12.1966</x:v>
      </x:c>
      <x:c r="H92" s="158" t="n">
        <x:v>-0.42725520173088327</x:v>
      </x:c>
      <x:c r="I92" s="157" t="n">
        <x:v>-0.015081020847861639</x:v>
      </x:c>
      <x:c r="J92" s="36" t="str">
        <x:v>Leitura real — sequência serpentina</x:v>
      </x:c>
    </x:row>
    <x:row r="93">
      <x:c r="A93" s="40" t="n">
        <x:v>81</x:v>
      </x:c>
      <x:c r="B93" s="41" t="n">
        <x:v>2.2</x:v>
      </x:c>
      <x:c r="C93" s="41" t="n">
        <x:v>-1</x:v>
      </x:c>
      <x:c r="D93" s="161" t="n">
        <x:v>10.995476086700563</x:v>
      </x:c>
      <x:c r="E93" s="161" t="n">
        <x:v>29.104523913299438</x:v>
      </x:c>
      <x:c r="F93" s="162" t="n">
        <x:v>32.0806</x:v>
      </x:c>
      <x:c r="G93" s="158" t="n">
        <x:v>8.019400000000005</x:v>
      </x:c>
      <x:c r="H93" s="158" t="n">
        <x:v>2.9760760867005587</x:v>
      </x:c>
      <x:c r="I93" s="157" t="n">
        <x:v>0.10225475927955749</x:v>
      </x:c>
      <x:c r="J93" s="36" t="str">
        <x:v>Leitura real — sequência serpentina</x:v>
      </x:c>
    </x:row>
    <x:row r="94">
      <x:c r="A94" s="40" t="n">
        <x:v>82</x:v>
      </x:c>
      <x:c r="B94" s="41" t="n">
        <x:v>2.45</x:v>
      </x:c>
      <x:c r="C94" s="41" t="n">
        <x:v>-1</x:v>
      </x:c>
      <x:c r="D94" s="161" t="n">
        <x:v>10.09645610930235</x:v>
      </x:c>
      <x:c r="E94" s="161" t="n">
        <x:v>30.00354389069765</x:v>
      </x:c>
      <x:c r="F94" s="162" t="n">
        <x:v>28.4609</x:v>
      </x:c>
      <x:c r="G94" s="158" t="n">
        <x:v>11.639100000000003</x:v>
      </x:c>
      <x:c r="H94" s="158" t="n">
        <x:v>-1.5426438906976507</x:v>
      </x:c>
      <x:c r="I94" s="157" t="n">
        <x:v>-0.05141538933925518</x:v>
      </x:c>
      <x:c r="J94" s="36" t="str">
        <x:v>Leitura real — sequência serpentina</x:v>
      </x:c>
    </x:row>
    <x:row r="95">
      <x:c r="A95" s="40" t="n">
        <x:v>83</x:v>
      </x:c>
      <x:c r="B95" s="41" t="n">
        <x:v>2.7</x:v>
      </x:c>
      <x:c r="C95" s="41" t="n">
        <x:v>-1</x:v>
      </x:c>
      <x:c r="D95" s="161" t="n">
        <x:v>9.160435924079437</x:v>
      </x:c>
      <x:c r="E95" s="161" t="n">
        <x:v>30.939564075920565</x:v>
      </x:c>
      <x:c r="F95" s="162" t="n">
        <x:v>31.0117</x:v>
      </x:c>
      <x:c r="G95" s="158" t="n">
        <x:v>9.0883</x:v>
      </x:c>
      <x:c r="H95" s="158" t="n">
        <x:v>0.07213592407943636</x:v>
      </x:c>
      <x:c r="I95" s="157" t="n">
        <x:v>0.002331510680060868</x:v>
      </x:c>
      <x:c r="J95" s="36" t="str">
        <x:v>Leitura real — sequência serpentina</x:v>
      </x:c>
    </x:row>
    <x:row r="96">
      <x:c r="A96" s="40" t="n">
        <x:v>84</x:v>
      </x:c>
      <x:c r="B96" s="41" t="n">
        <x:v>2.95</x:v>
      </x:c>
      <x:c r="C96" s="41" t="n">
        <x:v>-1</x:v>
      </x:c>
      <x:c r="D96" s="161" t="n">
        <x:v>8.267081993057209</x:v>
      </x:c>
      <x:c r="E96" s="161" t="n">
        <x:v>31.83291800694279</x:v>
      </x:c>
      <x:c r="F96" s="162" t="n">
        <x:v>32.8151</x:v>
      </x:c>
      <x:c r="G96" s="158" t="n">
        <x:v>7.2849</x:v>
      </x:c>
      <x:c r="H96" s="158" t="n">
        <x:v>0.9821819930572104</x:v>
      </x:c>
      <x:c r="I96" s="157" t="n">
        <x:v>0.030854287151526466</x:v>
      </x:c>
      <x:c r="J96" s="36" t="str">
        <x:v>Leitura real — sequência serpentina</x:v>
      </x:c>
    </x:row>
    <x:row r="97">
      <x:c r="A97" s="40" t="n">
        <x:v>85</x:v>
      </x:c>
      <x:c r="B97" s="41" t="n">
        <x:v>3.2</x:v>
      </x:c>
      <x:c r="C97" s="41" t="n">
        <x:v>-1</x:v>
      </x:c>
      <x:c r="D97" s="161" t="n">
        <x:v>7.463264755385941</x:v>
      </x:c>
      <x:c r="E97" s="161" t="n">
        <x:v>32.63673524461406</x:v>
      </x:c>
      <x:c r="F97" s="162" t="n">
        <x:v>33.4554</x:v>
      </x:c>
      <x:c r="G97" s="158" t="n">
        <x:v>6.644600000000004</x:v>
      </x:c>
      <x:c r="H97" s="158" t="n">
        <x:v>0.8186647553859387</x:v>
      </x:c>
      <x:c r="I97" s="157" t="n">
        <x:v>0.025084149785510195</x:v>
      </x:c>
      <x:c r="J97" s="36" t="str">
        <x:v>Leitura real — sequência serpentina</x:v>
      </x:c>
    </x:row>
    <x:row r="98">
      <x:c r="A98" s="40" t="n">
        <x:v>86</x:v>
      </x:c>
      <x:c r="B98" s="41" t="n">
        <x:v>-0.8</x:v>
      </x:c>
      <x:c r="C98" s="41" t="n">
        <x:v>-0.75</x:v>
      </x:c>
      <x:c r="D98" s="161" t="n">
        <x:v>7.966853722293177</x:v>
      </x:c>
      <x:c r="E98" s="161" t="n">
        <x:v>32.13314627770683</x:v>
      </x:c>
      <x:c r="F98" s="162" t="n">
        <x:v>32.4727</x:v>
      </x:c>
      <x:c r="G98" s="158" t="n">
        <x:v>7.627299999999998</x:v>
      </x:c>
      <x:c r="H98" s="158" t="n">
        <x:v>0.33955372229317504</x:v>
      </x:c>
      <x:c r="I98" s="157" t="n">
        <x:v>0.0105670860661643</x:v>
      </x:c>
      <x:c r="J98" s="36" t="str">
        <x:v>Leitura real — sequência serpentina</x:v>
      </x:c>
    </x:row>
    <x:row r="99">
      <x:c r="A99" s="40" t="n">
        <x:v>87</x:v>
      </x:c>
      <x:c r="B99" s="41" t="n">
        <x:v>-0.55</x:v>
      </x:c>
      <x:c r="C99" s="41" t="n">
        <x:v>-0.75</x:v>
      </x:c>
      <x:c r="D99" s="161" t="n">
        <x:v>8.989582354062325</x:v>
      </x:c>
      <x:c r="E99" s="161" t="n">
        <x:v>31.110417645937677</x:v>
      </x:c>
      <x:c r="F99" s="162" t="n">
        <x:v>27.298</x:v>
      </x:c>
      <x:c r="G99" s="158" t="n">
        <x:v>12.802000000000003</x:v>
      </x:c>
      <x:c r="H99" s="158" t="n">
        <x:v>-3.8124176459376784</x:v>
      </x:c>
      <x:c r="I99" s="157" t="n">
        <x:v>-0.1225447272783718</x:v>
      </x:c>
      <x:c r="J99" s="36" t="str">
        <x:v>Leitura real — sequência serpentina</x:v>
      </x:c>
    </x:row>
    <x:row r="100">
      <x:c r="A100" s="40" t="n">
        <x:v>88</x:v>
      </x:c>
      <x:c r="B100" s="41" t="n">
        <x:v>-0.30000000000000004</x:v>
      </x:c>
      <x:c r="C100" s="41" t="n">
        <x:v>-0.75</x:v>
      </x:c>
      <x:c r="D100" s="161" t="n">
        <x:v>10.191801754384722</x:v>
      </x:c>
      <x:c r="E100" s="161" t="n">
        <x:v>29.90819824561528</x:v>
      </x:c>
      <x:c r="F100" s="162" t="n">
        <x:v>28.0868</x:v>
      </x:c>
      <x:c r="G100" s="158" t="n">
        <x:v>12.013200000000001</x:v>
      </x:c>
      <x:c r="H100" s="158" t="n">
        <x:v>-1.8213982456152813</x:v>
      </x:c>
      <x:c r="I100" s="157" t="n">
        <x:v>-0.06089963128696022</x:v>
      </x:c>
      <x:c r="J100" s="36" t="str">
        <x:v>Leitura real — sequência serpentina</x:v>
      </x:c>
    </x:row>
    <x:row r="101">
      <x:c r="A101" s="40" t="n">
        <x:v>89</x:v>
      </x:c>
      <x:c r="B101" s="41" t="n">
        <x:v>-0.050000000000000044</x:v>
      </x:c>
      <x:c r="C101" s="41" t="n">
        <x:v>-0.75</x:v>
      </x:c>
      <x:c r="D101" s="161" t="n">
        <x:v>11.513422735924449</x:v>
      </x:c>
      <x:c r="E101" s="161" t="n">
        <x:v>28.58657726407555</x:v>
      </x:c>
      <x:c r="F101" s="162" t="n">
        <x:v>26.7904</x:v>
      </x:c>
      <x:c r="G101" s="158" t="n">
        <x:v>13.3096</x:v>
      </x:c>
      <x:c r="H101" s="158" t="n">
        <x:v>-1.7961772640755491</x:v>
      </x:c>
      <x:c r="I101" s="157" t="n">
        <x:v>-0.06283288997780039</x:v>
      </x:c>
      <x:c r="J101" s="36" t="str">
        <x:v>Leitura real — sequência serpentina</x:v>
      </x:c>
    </x:row>
    <x:row r="102">
      <x:c r="A102" s="40" t="n">
        <x:v>90</x:v>
      </x:c>
      <x:c r="B102" s="41" t="n">
        <x:v>0.19999999999999996</x:v>
      </x:c>
      <x:c r="C102" s="41" t="n">
        <x:v>-0.75</x:v>
      </x:c>
      <x:c r="D102" s="161" t="n">
        <x:v>12.809374999756884</x:v>
      </x:c>
      <x:c r="E102" s="161" t="n">
        <x:v>27.290625000243118</x:v>
      </x:c>
      <x:c r="F102" s="162" t="n">
        <x:v>28.0129</x:v>
      </x:c>
      <x:c r="G102" s="158" t="n">
        <x:v>12.087100000000003</x:v>
      </x:c>
      <x:c r="H102" s="158" t="n">
        <x:v>0.7222749997568805</x:v>
      </x:c>
      <x:c r="I102" s="157" t="n">
        <x:v>0.026466048313310748</x:v>
      </x:c>
      <x:c r="J102" s="36" t="str">
        <x:v>Leitura real — sequência serpentina</x:v>
      </x:c>
    </x:row>
    <x:row r="103">
      <x:c r="A103" s="40" t="n">
        <x:v>91</x:v>
      </x:c>
      <x:c r="B103" s="41" t="n">
        <x:v>0.44999999999999996</x:v>
      </x:c>
      <x:c r="C103" s="41" t="n">
        <x:v>-0.75</x:v>
      </x:c>
      <x:c r="D103" s="161" t="n">
        <x:v>13.911842327218917</x:v>
      </x:c>
      <x:c r="E103" s="161" t="n">
        <x:v>26.188157672781085</x:v>
      </x:c>
      <x:c r="F103" s="162" t="n">
        <x:v>25.7224</x:v>
      </x:c>
      <x:c r="G103" s="158" t="n">
        <x:v>14.377600000000001</x:v>
      </x:c>
      <x:c r="H103" s="158" t="n">
        <x:v>-0.46575767278108415</x:v>
      </x:c>
      <x:c r="I103" s="157" t="n">
        <x:v>-0.01778504920432696</x:v>
      </x:c>
      <x:c r="J103" s="36" t="str">
        <x:v>Leitura real — sequência serpentina</x:v>
      </x:c>
    </x:row>
    <x:row r="104">
      <x:c r="A104" s="40" t="n">
        <x:v>92</x:v>
      </x:c>
      <x:c r="B104" s="41" t="n">
        <x:v>0.7</x:v>
      </x:c>
      <x:c r="C104" s="41" t="n">
        <x:v>-0.75</x:v>
      </x:c>
      <x:c r="D104" s="161" t="n">
        <x:v>14.718554824740654</x:v>
      </x:c>
      <x:c r="E104" s="161" t="n">
        <x:v>25.381445175259348</x:v>
      </x:c>
      <x:c r="F104" s="162" t="n">
        <x:v>29.1147</x:v>
      </x:c>
      <x:c r="G104" s="158" t="n">
        <x:v>10.985300000000002</x:v>
      </x:c>
      <x:c r="H104" s="158" t="n">
        <x:v>3.7332548247406514</x:v>
      </x:c>
      <x:c r="I104" s="157" t="n">
        <x:v>0.14708598344036197</x:v>
      </x:c>
      <x:c r="J104" s="36" t="str">
        <x:v>Leitura real — sequência serpentina</x:v>
      </x:c>
    </x:row>
    <x:row r="105">
      <x:c r="A105" s="40" t="n">
        <x:v>93</x:v>
      </x:c>
      <x:c r="B105" s="41" t="n">
        <x:v>0.95</x:v>
      </x:c>
      <x:c r="C105" s="41" t="n">
        <x:v>-0.75</x:v>
      </x:c>
      <x:c r="D105" s="161" t="n">
        <x:v>15.20037077823775</x:v>
      </x:c>
      <x:c r="E105" s="161" t="n">
        <x:v>24.899629221762254</x:v>
      </x:c>
      <x:c r="F105" s="162" t="n">
        <x:v>25.269</x:v>
      </x:c>
      <x:c r="G105" s="158" t="n">
        <x:v>14.831000000000003</x:v>
      </x:c>
      <x:c r="H105" s="158" t="n">
        <x:v>0.36937077823774445</x:v>
      </x:c>
      <x:c r="I105" s="157" t="n">
        <x:v>0.014834388695029833</x:v>
      </x:c>
      <x:c r="J105" s="36" t="str">
        <x:v>Leitura real — sequência serpentina</x:v>
      </x:c>
    </x:row>
    <x:row r="106">
      <x:c r="A106" s="40" t="n">
        <x:v>94</x:v>
      </x:c>
      <x:c r="B106" s="41" t="n">
        <x:v>1.2</x:v>
      </x:c>
      <x:c r="C106" s="41" t="n">
        <x:v>-0.75</x:v>
      </x:c>
      <x:c r="D106" s="161" t="n">
        <x:v>15.359714012755802</x:v>
      </x:c>
      <x:c r="E106" s="161" t="n">
        <x:v>24.7402859872442</x:v>
      </x:c>
      <x:c r="F106" s="162" t="n">
        <x:v>22.713</x:v>
      </x:c>
      <x:c r="G106" s="158" t="n">
        <x:v>17.387</x:v>
      </x:c>
      <x:c r="H106" s="158" t="n">
        <x:v>-2.0272859872441984</x:v>
      </x:c>
      <x:c r="I106" s="157" t="n">
        <x:v>-0.08194270625203942</x:v>
      </x:c>
      <x:c r="J106" s="36" t="str">
        <x:v>Leitura real — sequência serpentina</x:v>
      </x:c>
    </x:row>
    <x:row r="107">
      <x:c r="A107" s="40" t="n">
        <x:v>95</x:v>
      </x:c>
      <x:c r="B107" s="41" t="n">
        <x:v>1.45</x:v>
      </x:c>
      <x:c r="C107" s="41" t="n">
        <x:v>-0.75</x:v>
      </x:c>
      <x:c r="D107" s="161" t="n">
        <x:v>15.20037077823775</x:v>
      </x:c>
      <x:c r="E107" s="161" t="n">
        <x:v>24.899629221762254</x:v>
      </x:c>
      <x:c r="F107" s="162" t="n">
        <x:v>21.9447</x:v>
      </x:c>
      <x:c r="G107" s="158" t="n">
        <x:v>18.1553</x:v>
      </x:c>
      <x:c r="H107" s="158" t="n">
        <x:v>-2.954929221762253</x:v>
      </x:c>
      <x:c r="I107" s="157" t="n">
        <x:v>-0.11867362342808091</x:v>
      </x:c>
      <x:c r="J107" s="36" t="str">
        <x:v>Leitura real — sequência serpentina</x:v>
      </x:c>
    </x:row>
    <x:row r="108">
      <x:c r="A108" s="40" t="n">
        <x:v>96</x:v>
      </x:c>
      <x:c r="B108" s="41" t="n">
        <x:v>1.7</x:v>
      </x:c>
      <x:c r="C108" s="41" t="n">
        <x:v>-0.75</x:v>
      </x:c>
      <x:c r="D108" s="161" t="n">
        <x:v>14.718554824740654</x:v>
      </x:c>
      <x:c r="E108" s="161" t="n">
        <x:v>25.381445175259348</x:v>
      </x:c>
      <x:c r="F108" s="162" t="n">
        <x:v>22.0848</x:v>
      </x:c>
      <x:c r="G108" s="158" t="n">
        <x:v>18.0152</x:v>
      </x:c>
      <x:c r="H108" s="158" t="n">
        <x:v>-3.2966451752593464</x:v>
      </x:c>
      <x:c r="I108" s="157" t="n">
        <x:v>-0.12988406107280143</x:v>
      </x:c>
      <x:c r="J108" s="36" t="str">
        <x:v>Leitura real — sequência serpentina</x:v>
      </x:c>
    </x:row>
    <x:row r="109">
      <x:c r="A109" s="40" t="n">
        <x:v>97</x:v>
      </x:c>
      <x:c r="B109" s="41" t="n">
        <x:v>1.95</x:v>
      </x:c>
      <x:c r="C109" s="41" t="n">
        <x:v>-0.75</x:v>
      </x:c>
      <x:c r="D109" s="161" t="n">
        <x:v>13.911842327218917</x:v>
      </x:c>
      <x:c r="E109" s="161" t="n">
        <x:v>26.188157672781085</x:v>
      </x:c>
      <x:c r="F109" s="162" t="n">
        <x:v>27.3388</x:v>
      </x:c>
      <x:c r="G109" s="158" t="n">
        <x:v>12.761200000000002</x:v>
      </x:c>
      <x:c r="H109" s="158" t="n">
        <x:v>1.1506423272189146</x:v>
      </x:c>
      <x:c r="I109" s="157" t="n">
        <x:v>0.043937505707583466</x:v>
      </x:c>
      <x:c r="J109" s="36" t="str">
        <x:v>Leitura real — sequência serpentina</x:v>
      </x:c>
    </x:row>
    <x:row r="110">
      <x:c r="A110" s="40" t="n">
        <x:v>98</x:v>
      </x:c>
      <x:c r="B110" s="41" t="n">
        <x:v>2.2</x:v>
      </x:c>
      <x:c r="C110" s="41" t="n">
        <x:v>-0.75</x:v>
      </x:c>
      <x:c r="D110" s="161" t="n">
        <x:v>12.809374999756884</x:v>
      </x:c>
      <x:c r="E110" s="161" t="n">
        <x:v>27.290625000243118</x:v>
      </x:c>
      <x:c r="F110" s="162" t="n">
        <x:v>28.6362</x:v>
      </x:c>
      <x:c r="G110" s="158" t="n">
        <x:v>11.463800000000003</x:v>
      </x:c>
      <x:c r="H110" s="158" t="n">
        <x:v>1.3455749997568809</x:v>
      </x:c>
      <x:c r="I110" s="157" t="n">
        <x:v>0.04930539332627574</x:v>
      </x:c>
      <x:c r="J110" s="36" t="str">
        <x:v>Leitura real — sequência serpentina</x:v>
      </x:c>
    </x:row>
    <x:row r="111">
      <x:c r="A111" s="40" t="n">
        <x:v>99</x:v>
      </x:c>
      <x:c r="B111" s="41" t="n">
        <x:v>2.45</x:v>
      </x:c>
      <x:c r="C111" s="41" t="n">
        <x:v>-0.75</x:v>
      </x:c>
      <x:c r="D111" s="161" t="n">
        <x:v>11.513422735924447</x:v>
      </x:c>
      <x:c r="E111" s="161" t="n">
        <x:v>28.586577264075554</x:v>
      </x:c>
      <x:c r="F111" s="162" t="n">
        <x:v>26.9728</x:v>
      </x:c>
      <x:c r="G111" s="158" t="n">
        <x:v>13.127200000000002</x:v>
      </x:c>
      <x:c r="H111" s="158" t="n">
        <x:v>-1.613777264075555</x:v>
      </x:c>
      <x:c r="I111" s="157" t="n">
        <x:v>-0.05645227300798867</x:v>
      </x:c>
      <x:c r="J111" s="36" t="str">
        <x:v>Leitura real — sequência serpentina</x:v>
      </x:c>
    </x:row>
    <x:row r="112">
      <x:c r="A112" s="40" t="n">
        <x:v>100</x:v>
      </x:c>
      <x:c r="B112" s="41" t="n">
        <x:v>2.7</x:v>
      </x:c>
      <x:c r="C112" s="41" t="n">
        <x:v>-0.75</x:v>
      </x:c>
      <x:c r="D112" s="161" t="n">
        <x:v>10.19180175438472</x:v>
      </x:c>
      <x:c r="E112" s="161" t="n">
        <x:v>29.90819824561528</x:v>
      </x:c>
      <x:c r="F112" s="162" t="n">
        <x:v>29.5482</x:v>
      </x:c>
      <x:c r="G112" s="158" t="n">
        <x:v>10.5518</x:v>
      </x:c>
      <x:c r="H112" s="158" t="n">
        <x:v>-0.35999824561528015</x:v>
      </x:c>
      <x:c r="I112" s="157" t="n">
        <x:v>-0.0120367747551646</x:v>
      </x:c>
      <x:c r="J112" s="36" t="str">
        <x:v>Leitura real — sequência serpentina</x:v>
      </x:c>
    </x:row>
    <x:row r="113">
      <x:c r="A113" s="40" t="n">
        <x:v>101</x:v>
      </x:c>
      <x:c r="B113" s="41" t="n">
        <x:v>2.95</x:v>
      </x:c>
      <x:c r="C113" s="41" t="n">
        <x:v>-0.75</x:v>
      </x:c>
      <x:c r="D113" s="161" t="n">
        <x:v>8.989582354062325</x:v>
      </x:c>
      <x:c r="E113" s="161" t="n">
        <x:v>31.110417645937677</x:v>
      </x:c>
      <x:c r="F113" s="162" t="n">
        <x:v>29.716</x:v>
      </x:c>
      <x:c r="G113" s="158" t="n">
        <x:v>10.384</x:v>
      </x:c>
      <x:c r="H113" s="158" t="n">
        <x:v>-1.3944176459376756</x:v>
      </x:c>
      <x:c r="I113" s="157" t="n">
        <x:v>-0.044821566261414536</x:v>
      </x:c>
      <x:c r="J113" s="36" t="str">
        <x:v>Leitura real — sequência serpentina</x:v>
      </x:c>
    </x:row>
    <x:row r="114">
      <x:c r="A114" s="40" t="n">
        <x:v>102</x:v>
      </x:c>
      <x:c r="B114" s="41" t="n">
        <x:v>3.2</x:v>
      </x:c>
      <x:c r="C114" s="41" t="n">
        <x:v>-0.75</x:v>
      </x:c>
      <x:c r="D114" s="161" t="n">
        <x:v>7.966853722293177</x:v>
      </x:c>
      <x:c r="E114" s="161" t="n">
        <x:v>32.13314627770683</x:v>
      </x:c>
      <x:c r="F114" s="162" t="n">
        <x:v>29.4164</x:v>
      </x:c>
      <x:c r="G114" s="158" t="n">
        <x:v>10.683600000000002</x:v>
      </x:c>
      <x:c r="H114" s="158" t="n">
        <x:v>-2.7167462777068287</x:v>
      </x:c>
      <x:c r="I114" s="157" t="n">
        <x:v>-0.08454653815184103</x:v>
      </x:c>
      <x:c r="J114" s="36" t="str">
        <x:v>Leitura real — sequência serpentina</x:v>
      </x:c>
    </x:row>
    <x:row r="115">
      <x:c r="A115" s="40" t="n">
        <x:v>103</x:v>
      </x:c>
      <x:c r="B115" s="41" t="n">
        <x:v>-0.8</x:v>
      </x:c>
      <x:c r="C115" s="41" t="n">
        <x:v>-0.5</x:v>
      </x:c>
      <x:c r="D115" s="161" t="n">
        <x:v>8.424805962434633</x:v>
      </x:c>
      <x:c r="E115" s="161" t="n">
        <x:v>31.67519403756537</x:v>
      </x:c>
      <x:c r="F115" s="162" t="n">
        <x:v>34.1544</x:v>
      </x:c>
      <x:c r="G115" s="158" t="n">
        <x:v>5.945599999999999</x:v>
      </x:c>
      <x:c r="H115" s="158" t="n">
        <x:v>2.4792059624346336</x:v>
      </x:c>
      <x:c r="I115" s="157" t="n">
        <x:v>0.07826963773274462</x:v>
      </x:c>
      <x:c r="J115" s="36" t="str">
        <x:v>Leitura real — sequência serpentina</x:v>
      </x:c>
    </x:row>
    <x:row r="116">
      <x:c r="A116" s="40" t="n">
        <x:v>104</x:v>
      </x:c>
      <x:c r="B116" s="41" t="n">
        <x:v>-0.55</x:v>
      </x:c>
      <x:c r="C116" s="41" t="n">
        <x:v>-0.5</x:v>
      </x:c>
      <x:c r="D116" s="161" t="n">
        <x:v>9.705695616088205</x:v>
      </x:c>
      <x:c r="E116" s="161" t="n">
        <x:v>30.394304383911795</x:v>
      </x:c>
      <x:c r="F116" s="162" t="n">
        <x:v>30.0774</x:v>
      </x:c>
      <x:c r="G116" s="158" t="n">
        <x:v>10.0226</x:v>
      </x:c>
      <x:c r="H116" s="158" t="n">
        <x:v>-0.316904383911794</x:v>
      </x:c>
      <x:c r="I116" s="157" t="n">
        <x:v>-0.010426439766772115</x:v>
      </x:c>
      <x:c r="J116" s="36" t="str">
        <x:v>Leitura real — sequência serpentina</x:v>
      </x:c>
    </x:row>
    <x:row r="117">
      <x:c r="A117" s="40" t="n">
        <x:v>105</x:v>
      </x:c>
      <x:c r="B117" s="41" t="n">
        <x:v>-0.30000000000000004</x:v>
      </x:c>
      <x:c r="C117" s="41" t="n">
        <x:v>-0.5</x:v>
      </x:c>
      <x:c r="D117" s="161" t="n">
        <x:v>11.332334441649332</x:v>
      </x:c>
      <x:c r="E117" s="161" t="n">
        <x:v>28.76766555835067</x:v>
      </x:c>
      <x:c r="F117" s="162" t="n">
        <x:v>31.9486</x:v>
      </x:c>
      <x:c r="G117" s="158" t="n">
        <x:v>8.151400000000002</x:v>
      </x:c>
      <x:c r="H117" s="158" t="n">
        <x:v>3.1809344416493275</x:v>
      </x:c>
      <x:c r="I117" s="157" t="n">
        <x:v>0.1105732557686095</x:v>
      </x:c>
      <x:c r="J117" s="36" t="str">
        <x:v>Leitura real — sequência serpentina</x:v>
      </x:c>
    </x:row>
    <x:row r="118">
      <x:c r="A118" s="40" t="n">
        <x:v>106</x:v>
      </x:c>
      <x:c r="B118" s="41" t="n">
        <x:v>-0.050000000000000044</x:v>
      </x:c>
      <x:c r="C118" s="41" t="n">
        <x:v>-0.5</x:v>
      </x:c>
      <x:c r="D118" s="161" t="n">
        <x:v>13.259396239959758</x:v>
      </x:c>
      <x:c r="E118" s="161" t="n">
        <x:v>26.840603760040246</x:v>
      </x:c>
      <x:c r="F118" s="162" t="n">
        <x:v>27.6204</x:v>
      </x:c>
      <x:c r="G118" s="158" t="n">
        <x:v>12.479600000000001</x:v>
      </x:c>
      <x:c r="H118" s="158" t="n">
        <x:v>0.7797962399597544</x:v>
      </x:c>
      <x:c r="I118" s="157" t="n">
        <x:v>0.029052857638049837</x:v>
      </x:c>
      <x:c r="J118" s="36" t="str">
        <x:v>Leitura real — sequência serpentina</x:v>
      </x:c>
    </x:row>
    <x:row r="119">
      <x:c r="A119" s="40" t="n">
        <x:v>107</x:v>
      </x:c>
      <x:c r="B119" s="41" t="n">
        <x:v>0.19999999999999996</x:v>
      </x:c>
      <x:c r="C119" s="41" t="n">
        <x:v>-0.5</x:v>
      </x:c>
      <x:c r="D119" s="161" t="n">
        <x:v>15.199622458109813</x:v>
      </x:c>
      <x:c r="E119" s="161" t="n">
        <x:v>24.900377541890187</x:v>
      </x:c>
      <x:c r="F119" s="162" t="n">
        <x:v>25.2404</x:v>
      </x:c>
      <x:c r="G119" s="158" t="n">
        <x:v>14.8596</x:v>
      </x:c>
      <x:c r="H119" s="158" t="n">
        <x:v>0.34002245810981435</x:v>
      </x:c>
      <x:c r="I119" s="157" t="n">
        <x:v>0.013655313359718773</x:v>
      </x:c>
      <x:c r="J119" s="36" t="str">
        <x:v>Leitura real — sequência serpentina</x:v>
      </x:c>
    </x:row>
    <x:row r="120">
      <x:c r="A120" s="40" t="n">
        <x:v>108</x:v>
      </x:c>
      <x:c r="B120" s="41" t="n">
        <x:v>0.44999999999999996</x:v>
      </x:c>
      <x:c r="C120" s="41" t="n">
        <x:v>-0.5</x:v>
      </x:c>
      <x:c r="D120" s="161" t="n">
        <x:v>16.791291615488234</x:v>
      </x:c>
      <x:c r="E120" s="161" t="n">
        <x:v>23.308708384511768</x:v>
      </x:c>
      <x:c r="F120" s="162" t="n">
        <x:v>24.5272</x:v>
      </x:c>
      <x:c r="G120" s="158" t="n">
        <x:v>15.5728</x:v>
      </x:c>
      <x:c r="H120" s="158" t="n">
        <x:v>1.218491615488233</x:v>
      </x:c>
      <x:c r="I120" s="157" t="n">
        <x:v>0.05227623922301502</x:v>
      </x:c>
      <x:c r="J120" s="36" t="str">
        <x:v>Leitura real — sequência serpentina</x:v>
      </x:c>
    </x:row>
    <x:row r="121">
      <x:c r="A121" s="40" t="n">
        <x:v>109</x:v>
      </x:c>
      <x:c r="B121" s="41" t="n">
        <x:v>0.7</x:v>
      </x:c>
      <x:c r="C121" s="41" t="n">
        <x:v>-0.5</x:v>
      </x:c>
      <x:c r="D121" s="161" t="n">
        <x:v>17.89024027816574</x:v>
      </x:c>
      <x:c r="E121" s="161" t="n">
        <x:v>22.20975972183426</x:v>
      </x:c>
      <x:c r="F121" s="162" t="n">
        <x:v>23.3388</x:v>
      </x:c>
      <x:c r="G121" s="158" t="n">
        <x:v>16.761200000000002</x:v>
      </x:c>
      <x:c r="H121" s="158" t="n">
        <x:v>1.1290402781657392</x:v>
      </x:c>
      <x:c r="I121" s="157" t="n">
        <x:v>0.05083532160214176</x:v>
      </x:c>
      <x:c r="J121" s="36" t="str">
        <x:v>Leitura real — sequência serpentina</x:v>
      </x:c>
    </x:row>
    <x:row r="122">
      <x:c r="A122" s="40" t="n">
        <x:v>110</x:v>
      </x:c>
      <x:c r="B122" s="41" t="n">
        <x:v>0.95</x:v>
      </x:c>
      <x:c r="C122" s="41" t="n">
        <x:v>-0.5</x:v>
      </x:c>
      <x:c r="D122" s="161" t="n">
        <x:v>18.517921649575495</x:v>
      </x:c>
      <x:c r="E122" s="161" t="n">
        <x:v>21.582078350424506</x:v>
      </x:c>
      <x:c r="F122" s="162" t="n">
        <x:v>23.6692</x:v>
      </x:c>
      <x:c r="G122" s="158" t="n">
        <x:v>16.4308</x:v>
      </x:c>
      <x:c r="H122" s="158" t="n">
        <x:v>2.0871216495754936</x:v>
      </x:c>
      <x:c r="I122" s="157" t="n">
        <x:v>0.09670624004265285</x:v>
      </x:c>
      <x:c r="J122" s="36" t="str">
        <x:v>Leitura real — sequência serpentina</x:v>
      </x:c>
    </x:row>
    <x:row r="123">
      <x:c r="A123" s="40" t="n">
        <x:v>111</x:v>
      </x:c>
      <x:c r="B123" s="41" t="n">
        <x:v>1.2</x:v>
      </x:c>
      <x:c r="C123" s="41" t="n">
        <x:v>-0.5</x:v>
      </x:c>
      <x:c r="D123" s="161" t="n">
        <x:v>18.720949647268117</x:v>
      </x:c>
      <x:c r="E123" s="161" t="n">
        <x:v>21.379050352731884</x:v>
      </x:c>
      <x:c r="F123" s="162" t="n">
        <x:v>20.5983</x:v>
      </x:c>
      <x:c r="G123" s="158" t="n">
        <x:v>19.501700000000003</x:v>
      </x:c>
      <x:c r="H123" s="158" t="n">
        <x:v>-0.7807503527318858</x:v>
      </x:c>
      <x:c r="I123" s="157" t="n">
        <x:v>-0.0365194122213253</x:v>
      </x:c>
      <x:c r="J123" s="36" t="str">
        <x:v>Leitura real — sequência serpentina</x:v>
      </x:c>
    </x:row>
    <x:row r="124">
      <x:c r="A124" s="40" t="n">
        <x:v>112</x:v>
      </x:c>
      <x:c r="B124" s="41" t="n">
        <x:v>1.45</x:v>
      </x:c>
      <x:c r="C124" s="41" t="n">
        <x:v>-0.5</x:v>
      </x:c>
      <x:c r="D124" s="161" t="n">
        <x:v>18.517921649575495</x:v>
      </x:c>
      <x:c r="E124" s="161" t="n">
        <x:v>21.582078350424506</x:v>
      </x:c>
      <x:c r="F124" s="162" t="n">
        <x:v>18.6041</x:v>
      </x:c>
      <x:c r="G124" s="158" t="n">
        <x:v>21.495900000000002</x:v>
      </x:c>
      <x:c r="H124" s="158" t="n">
        <x:v>-2.9779783504245074</x:v>
      </x:c>
      <x:c r="I124" s="157" t="n">
        <x:v>-0.13798385410670758</x:v>
      </x:c>
      <x:c r="J124" s="36" t="str">
        <x:v>Leitura real — sequência serpentina</x:v>
      </x:c>
    </x:row>
    <x:row r="125">
      <x:c r="A125" s="40" t="n">
        <x:v>113</x:v>
      </x:c>
      <x:c r="B125" s="41" t="n">
        <x:v>1.7</x:v>
      </x:c>
      <x:c r="C125" s="41" t="n">
        <x:v>-0.5</x:v>
      </x:c>
      <x:c r="D125" s="161" t="n">
        <x:v>17.89024027816574</x:v>
      </x:c>
      <x:c r="E125" s="161" t="n">
        <x:v>22.20975972183426</x:v>
      </x:c>
      <x:c r="F125" s="162" t="n">
        <x:v>22.8157</x:v>
      </x:c>
      <x:c r="G125" s="158" t="n">
        <x:v>17.2843</x:v>
      </x:c>
      <x:c r="H125" s="158" t="n">
        <x:v>0.6059402781657397</x:v>
      </x:c>
      <x:c r="I125" s="157" t="n">
        <x:v>0.02728261294830867</x:v>
      </x:c>
      <x:c r="J125" s="36" t="str">
        <x:v>Leitura real — sequência serpentina</x:v>
      </x:c>
    </x:row>
    <x:row r="126">
      <x:c r="A126" s="40" t="n">
        <x:v>114</x:v>
      </x:c>
      <x:c r="B126" s="41" t="n">
        <x:v>1.95</x:v>
      </x:c>
      <x:c r="C126" s="41" t="n">
        <x:v>-0.5</x:v>
      </x:c>
      <x:c r="D126" s="161" t="n">
        <x:v>16.791291615488234</x:v>
      </x:c>
      <x:c r="E126" s="161" t="n">
        <x:v>23.308708384511768</x:v>
      </x:c>
      <x:c r="F126" s="162" t="n">
        <x:v>22.7922</x:v>
      </x:c>
      <x:c r="G126" s="158" t="n">
        <x:v>17.3078</x:v>
      </x:c>
      <x:c r="H126" s="158" t="n">
        <x:v>-0.5165083845117664</x:v>
      </x:c>
      <x:c r="I126" s="157" t="n">
        <x:v>-0.02215945971742378</x:v>
      </x:c>
      <x:c r="J126" s="36" t="str">
        <x:v>Leitura real — sequência serpentina</x:v>
      </x:c>
    </x:row>
    <x:row r="127">
      <x:c r="A127" s="40" t="n">
        <x:v>115</x:v>
      </x:c>
      <x:c r="B127" s="41" t="n">
        <x:v>2.2</x:v>
      </x:c>
      <x:c r="C127" s="41" t="n">
        <x:v>-0.5</x:v>
      </x:c>
      <x:c r="D127" s="161" t="n">
        <x:v>15.19962245810981</x:v>
      </x:c>
      <x:c r="E127" s="161" t="n">
        <x:v>24.900377541890194</x:v>
      </x:c>
      <x:c r="F127" s="162" t="n">
        <x:v>24.9681</x:v>
      </x:c>
      <x:c r="G127" s="158" t="n">
        <x:v>15.131900000000002</x:v>
      </x:c>
      <x:c r="H127" s="158" t="n">
        <x:v>0.06772245810980593</x:v>
      </x:c>
      <x:c r="I127" s="157" t="n">
        <x:v>0.002719736196604877</x:v>
      </x:c>
      <x:c r="J127" s="36" t="str">
        <x:v>Leitura real — sequência serpentina</x:v>
      </x:c>
    </x:row>
    <x:row r="128">
      <x:c r="A128" s="40" t="n">
        <x:v>116</x:v>
      </x:c>
      <x:c r="B128" s="41" t="n">
        <x:v>2.45</x:v>
      </x:c>
      <x:c r="C128" s="41" t="n">
        <x:v>-0.5</x:v>
      </x:c>
      <x:c r="D128" s="161" t="n">
        <x:v>13.259396239959754</x:v>
      </x:c>
      <x:c r="E128" s="161" t="n">
        <x:v>26.840603760040246</x:v>
      </x:c>
      <x:c r="F128" s="162" t="n">
        <x:v>30.4535</x:v>
      </x:c>
      <x:c r="G128" s="158" t="n">
        <x:v>9.646500000000003</x:v>
      </x:c>
      <x:c r="H128" s="158" t="n">
        <x:v>3.6128962399597526</x:v>
      </x:c>
      <x:c r="I128" s="157" t="n">
        <x:v>0.1346056248309347</x:v>
      </x:c>
      <x:c r="J128" s="36" t="str">
        <x:v>Leitura real — sequência serpentina</x:v>
      </x:c>
    </x:row>
    <x:row r="129">
      <x:c r="A129" s="40" t="n">
        <x:v>117</x:v>
      </x:c>
      <x:c r="B129" s="41" t="n">
        <x:v>2.7</x:v>
      </x:c>
      <x:c r="C129" s="41" t="n">
        <x:v>-0.5</x:v>
      </x:c>
      <x:c r="D129" s="161" t="n">
        <x:v>11.33233444164933</x:v>
      </x:c>
      <x:c r="E129" s="161" t="n">
        <x:v>28.76766555835067</x:v>
      </x:c>
      <x:c r="F129" s="162" t="n">
        <x:v>27.1861</x:v>
      </x:c>
      <x:c r="G129" s="158" t="n">
        <x:v>12.913900000000002</x:v>
      </x:c>
      <x:c r="H129" s="158" t="n">
        <x:v>-1.5815655583506718</x:v>
      </x:c>
      <x:c r="I129" s="157" t="n">
        <x:v>-0.05497719497408351</x:v>
      </x:c>
      <x:c r="J129" s="36" t="str">
        <x:v>Leitura real — sequência serpentina</x:v>
      </x:c>
    </x:row>
    <x:row r="130">
      <x:c r="A130" s="40" t="n">
        <x:v>118</x:v>
      </x:c>
      <x:c r="B130" s="41" t="n">
        <x:v>2.95</x:v>
      </x:c>
      <x:c r="C130" s="41" t="n">
        <x:v>-0.5</x:v>
      </x:c>
      <x:c r="D130" s="161" t="n">
        <x:v>9.705695616088201</x:v>
      </x:c>
      <x:c r="E130" s="161" t="n">
        <x:v>30.394304383911802</x:v>
      </x:c>
      <x:c r="F130" s="162" t="n">
        <x:v>32.6231</x:v>
      </x:c>
      <x:c r="G130" s="158" t="n">
        <x:v>7.4769000000000005</x:v>
      </x:c>
      <x:c r="H130" s="158" t="n">
        <x:v>2.228795616088199</x:v>
      </x:c>
      <x:c r="I130" s="157" t="n">
        <x:v>0.07332938395089367</x:v>
      </x:c>
      <x:c r="J130" s="36" t="str">
        <x:v>Leitura real — sequência serpentina</x:v>
      </x:c>
    </x:row>
    <x:row r="131">
      <x:c r="A131" s="40" t="n">
        <x:v>119</x:v>
      </x:c>
      <x:c r="B131" s="41" t="n">
        <x:v>3.2</x:v>
      </x:c>
      <x:c r="C131" s="41" t="n">
        <x:v>-0.5</x:v>
      </x:c>
      <x:c r="D131" s="161" t="n">
        <x:v>8.42480596243463</x:v>
      </x:c>
      <x:c r="E131" s="161" t="n">
        <x:v>31.67519403756537</x:v>
      </x:c>
      <x:c r="F131" s="162" t="n">
        <x:v>34.3956</x:v>
      </x:c>
      <x:c r="G131" s="158" t="n">
        <x:v>5.7044</x:v>
      </x:c>
      <x:c r="H131" s="158" t="n">
        <x:v>2.720405962434633</x:v>
      </x:c>
      <x:c r="I131" s="157" t="n">
        <x:v>0.08588442928584282</x:v>
      </x:c>
      <x:c r="J131" s="36" t="str">
        <x:v>Leitura real — sequência serpentina</x:v>
      </x:c>
    </x:row>
    <x:row r="132">
      <x:c r="A132" s="40" t="n">
        <x:v>120</x:v>
      </x:c>
      <x:c r="B132" s="41" t="n">
        <x:v>-0.8</x:v>
      </x:c>
      <x:c r="C132" s="41" t="n">
        <x:v>-0.25</x:v>
      </x:c>
      <x:c r="D132" s="161" t="n">
        <x:v>8.760322938563753</x:v>
      </x:c>
      <x:c r="E132" s="161" t="n">
        <x:v>31.339677061436248</x:v>
      </x:c>
      <x:c r="F132" s="162" t="n">
        <x:v>36.3537</x:v>
      </x:c>
      <x:c r="G132" s="158" t="n">
        <x:v>3.746299999999998</x:v>
      </x:c>
      <x:c r="H132" s="158" t="n">
        <x:v>5.014022938563755</x:v>
      </x:c>
      <x:c r="I132" s="157" t="n">
        <x:v>0.15998961727444075</x:v>
      </x:c>
      <x:c r="J132" s="36" t="str">
        <x:v>Leitura real — sequência serpentina</x:v>
      </x:c>
    </x:row>
    <x:row r="133">
      <x:c r="A133" s="40" t="n">
        <x:v>121</x:v>
      </x:c>
      <x:c r="B133" s="41" t="n">
        <x:v>-0.55</x:v>
      </x:c>
      <x:c r="C133" s="41" t="n">
        <x:v>-0.25</x:v>
      </x:c>
      <x:c r="D133" s="161" t="n">
        <x:v>10.283743395228262</x:v>
      </x:c>
      <x:c r="E133" s="161" t="n">
        <x:v>29.816256604771738</x:v>
      </x:c>
      <x:c r="F133" s="162" t="n">
        <x:v>29.3727</x:v>
      </x:c>
      <x:c r="G133" s="158" t="n">
        <x:v>10.727300000000003</x:v>
      </x:c>
      <x:c r="H133" s="158" t="n">
        <x:v>-0.4435566047717394</x:v>
      </x:c>
      <x:c r="I133" s="157" t="n">
        <x:v>-0.01487633443229602</x:v>
      </x:c>
      <x:c r="J133" s="36" t="str">
        <x:v>Leitura real — sequência serpentina</x:v>
      </x:c>
    </x:row>
    <x:row r="134">
      <x:c r="A134" s="40" t="n">
        <x:v>122</x:v>
      </x:c>
      <x:c r="B134" s="41" t="n">
        <x:v>-0.30000000000000004</x:v>
      </x:c>
      <x:c r="C134" s="41" t="n">
        <x:v>-0.25</x:v>
      </x:c>
      <x:c r="D134" s="161" t="n">
        <x:v>12.400517428960088</x:v>
      </x:c>
      <x:c r="E134" s="161" t="n">
        <x:v>27.699482571039916</x:v>
      </x:c>
      <x:c r="F134" s="162" t="n">
        <x:v>25.3811</x:v>
      </x:c>
      <x:c r="G134" s="158" t="n">
        <x:v>14.718900000000001</x:v>
      </x:c>
      <x:c r="H134" s="158" t="n">
        <x:v>-2.3183825710399155</x:v>
      </x:c>
      <x:c r="I134" s="157" t="n">
        <x:v>-0.08369768514967885</x:v>
      </x:c>
      <x:c r="J134" s="36" t="str">
        <x:v>Leitura real — sequência serpentina</x:v>
      </x:c>
    </x:row>
    <x:row r="135">
      <x:c r="A135" s="40" t="n">
        <x:v>123</x:v>
      </x:c>
      <x:c r="B135" s="41" t="n">
        <x:v>-0.050000000000000044</x:v>
      </x:c>
      <x:c r="C135" s="41" t="n">
        <x:v>-0.25</x:v>
      </x:c>
      <x:c r="D135" s="161" t="n">
        <x:v>15.198772413598574</x:v>
      </x:c>
      <x:c r="E135" s="161" t="n">
        <x:v>24.901227586401426</x:v>
      </x:c>
      <x:c r="F135" s="162" t="n">
        <x:v>26.7326</x:v>
      </x:c>
      <x:c r="G135" s="158" t="n">
        <x:v>13.3674</x:v>
      </x:c>
      <x:c r="H135" s="158" t="n">
        <x:v>1.8313724135985758</x:v>
      </x:c>
      <x:c r="I135" s="157" t="n">
        <x:v>0.07354546707563483</x:v>
      </x:c>
      <x:c r="J135" s="36" t="str">
        <x:v>Leitura real — sequência serpentina</x:v>
      </x:c>
    </x:row>
    <x:row r="136">
      <x:c r="A136" s="40" t="n">
        <x:v>124</x:v>
      </x:c>
      <x:c r="B136" s="41" t="n">
        <x:v>0.19999999999999996</x:v>
      </x:c>
      <x:c r="C136" s="41" t="n">
        <x:v>-0.25</x:v>
      </x:c>
      <x:c r="D136" s="161" t="n">
        <x:v>18.11773984212522</x:v>
      </x:c>
      <x:c r="E136" s="161" t="n">
        <x:v>21.98226015787478</x:v>
      </x:c>
      <x:c r="F136" s="162" t="n">
        <x:v>20.7163</x:v>
      </x:c>
      <x:c r="G136" s="158" t="n">
        <x:v>19.3837</x:v>
      </x:c>
      <x:c r="H136" s="158" t="n">
        <x:v>-1.2659601578747797</x:v>
      </x:c>
      <x:c r="I136" s="157" t="n">
        <x:v>-0.057590081674166266</x:v>
      </x:c>
      <x:c r="J136" s="36" t="str">
        <x:v>Leitura real — sequência serpentina</x:v>
      </x:c>
    </x:row>
    <x:row r="137">
      <x:c r="A137" s="40" t="n">
        <x:v>125</x:v>
      </x:c>
      <x:c r="B137" s="41" t="n">
        <x:v>0.44999999999999996</x:v>
      </x:c>
      <x:c r="C137" s="41" t="n">
        <x:v>-0.25</x:v>
      </x:c>
      <x:c r="D137" s="161" t="n">
        <x:v>20.337981726393945</x:v>
      </x:c>
      <x:c r="E137" s="161" t="n">
        <x:v>19.762018273606056</x:v>
      </x:c>
      <x:c r="F137" s="162" t="n">
        <x:v>17.3658</x:v>
      </x:c>
      <x:c r="G137" s="158" t="n">
        <x:v>22.7342</x:v>
      </x:c>
      <x:c r="H137" s="158" t="n">
        <x:v>-2.396218273606056</x:v>
      </x:c>
      <x:c r="I137" s="157" t="n">
        <x:v>-0.1212537221871928</x:v>
      </x:c>
      <x:c r="J137" s="36" t="str">
        <x:v>Leitura real — sequência serpentina</x:v>
      </x:c>
    </x:row>
    <x:row r="138">
      <x:c r="A138" s="40" t="n">
        <x:v>126</x:v>
      </x:c>
      <x:c r="B138" s="41" t="n">
        <x:v>0.7</x:v>
      </x:c>
      <x:c r="C138" s="41" t="n">
        <x:v>-0.25</x:v>
      </x:c>
      <x:c r="D138" s="161" t="n">
        <x:v>21.741239012055036</x:v>
      </x:c>
      <x:c r="E138" s="161" t="n">
        <x:v>18.358760987944965</x:v>
      </x:c>
      <x:c r="F138" s="162" t="n">
        <x:v>17.3717</x:v>
      </x:c>
      <x:c r="G138" s="158" t="n">
        <x:v>22.7283</x:v>
      </x:c>
      <x:c r="H138" s="158" t="n">
        <x:v>-0.9870609879449646</x:v>
      </x:c>
      <x:c r="I138" s="157" t="n">
        <x:v>-0.053765120020523444</x:v>
      </x:c>
      <x:c r="J138" s="36" t="str">
        <x:v>Leitura real — sequência serpentina</x:v>
      </x:c>
    </x:row>
    <x:row r="139">
      <x:c r="A139" s="40" t="n">
        <x:v>127</x:v>
      </x:c>
      <x:c r="B139" s="41" t="n">
        <x:v>0.95</x:v>
      </x:c>
      <x:c r="C139" s="41" t="n">
        <x:v>-0.25</x:v>
      </x:c>
      <x:c r="D139" s="161" t="n">
        <x:v>22.500967254694935</x:v>
      </x:c>
      <x:c r="E139" s="161" t="n">
        <x:v>17.599032745305067</x:v>
      </x:c>
      <x:c r="F139" s="162" t="n">
        <x:v>17.6001</x:v>
      </x:c>
      <x:c r="G139" s="158" t="n">
        <x:v>22.4999</x:v>
      </x:c>
      <x:c r="H139" s="158" t="n">
        <x:v>0.0010672546949344053</x:v>
      </x:c>
      <x:c r="I139" s="157" t="n">
        <x:v>0.000060642804089282645</x:v>
      </x:c>
      <x:c r="J139" s="36" t="str">
        <x:v>Leitura real — sequência serpentina</x:v>
      </x:c>
    </x:row>
    <x:row r="140">
      <x:c r="A140" s="40" t="n">
        <x:v>128</x:v>
      </x:c>
      <x:c r="B140" s="41" t="n">
        <x:v>1.2</x:v>
      </x:c>
      <x:c r="C140" s="41" t="n">
        <x:v>-0.25</x:v>
      </x:c>
      <x:c r="D140" s="161" t="n">
        <x:v>22.7410827567435</x:v>
      </x:c>
      <x:c r="E140" s="161" t="n">
        <x:v>17.358917243256503</x:v>
      </x:c>
      <x:c r="F140" s="162" t="n">
        <x:v>19.636</x:v>
      </x:c>
      <x:c r="G140" s="158" t="n">
        <x:v>20.464000000000002</x:v>
      </x:c>
      <x:c r="H140" s="158" t="n">
        <x:v>2.2770827567434964</x:v>
      </x:c>
      <x:c r="I140" s="157" t="n">
        <x:v>0.1311765431468996</x:v>
      </x:c>
      <x:c r="J140" s="36" t="str">
        <x:v>Leitura real — sequência serpentina</x:v>
      </x:c>
    </x:row>
    <x:row r="141">
      <x:c r="A141" s="40" t="n">
        <x:v>129</x:v>
      </x:c>
      <x:c r="B141" s="41" t="n">
        <x:v>1.45</x:v>
      </x:c>
      <x:c r="C141" s="41" t="n">
        <x:v>-0.25</x:v>
      </x:c>
      <x:c r="D141" s="161" t="n">
        <x:v>22.500967254694935</x:v>
      </x:c>
      <x:c r="E141" s="161" t="n">
        <x:v>17.599032745305067</x:v>
      </x:c>
      <x:c r="F141" s="162" t="n">
        <x:v>18.2098</x:v>
      </x:c>
      <x:c r="G141" s="158" t="n">
        <x:v>21.8902</x:v>
      </x:c>
      <x:c r="H141" s="158" t="n">
        <x:v>0.6107672546949345</x:v>
      </x:c>
      <x:c r="I141" s="157" t="n">
        <x:v>0.034704592208788874</x:v>
      </x:c>
      <x:c r="J141" s="36" t="str">
        <x:v>Leitura real — sequência serpentina</x:v>
      </x:c>
    </x:row>
    <x:row r="142">
      <x:c r="A142" s="40" t="n">
        <x:v>130</x:v>
      </x:c>
      <x:c r="B142" s="41" t="n">
        <x:v>1.7</x:v>
      </x:c>
      <x:c r="C142" s="41" t="n">
        <x:v>-0.25</x:v>
      </x:c>
      <x:c r="D142" s="161" t="n">
        <x:v>21.741239012055036</x:v>
      </x:c>
      <x:c r="E142" s="161" t="n">
        <x:v>18.358760987944965</x:v>
      </x:c>
      <x:c r="F142" s="162" t="n">
        <x:v>20.485</x:v>
      </x:c>
      <x:c r="G142" s="158" t="n">
        <x:v>19.615000000000002</x:v>
      </x:c>
      <x:c r="H142" s="158" t="n">
        <x:v>2.1262390120550343</x:v>
      </x:c>
      <x:c r="I142" s="157" t="n">
        <x:v>0.11581604082384431</x:v>
      </x:c>
      <x:c r="J142" s="36" t="str">
        <x:v>Leitura real — sequência serpentina</x:v>
      </x:c>
    </x:row>
    <x:row r="143">
      <x:c r="A143" s="40" t="n">
        <x:v>131</x:v>
      </x:c>
      <x:c r="B143" s="41" t="n">
        <x:v>1.95</x:v>
      </x:c>
      <x:c r="C143" s="41" t="n">
        <x:v>-0.25</x:v>
      </x:c>
      <x:c r="D143" s="161" t="n">
        <x:v>20.337981726393945</x:v>
      </x:c>
      <x:c r="E143" s="161" t="n">
        <x:v>19.762018273606056</x:v>
      </x:c>
      <x:c r="F143" s="162" t="n">
        <x:v>21.1471</x:v>
      </x:c>
      <x:c r="G143" s="158" t="n">
        <x:v>18.952900000000003</x:v>
      </x:c>
      <x:c r="H143" s="158" t="n">
        <x:v>1.385081726393942</x:v>
      </x:c>
      <x:c r="I143" s="157" t="n">
        <x:v>0.0700880703183967</x:v>
      </x:c>
      <x:c r="J143" s="36" t="str">
        <x:v>Leitura real — sequência serpentina</x:v>
      </x:c>
    </x:row>
    <x:row r="144">
      <x:c r="A144" s="40" t="n">
        <x:v>132</x:v>
      </x:c>
      <x:c r="B144" s="41" t="n">
        <x:v>2.2</x:v>
      </x:c>
      <x:c r="C144" s="41" t="n">
        <x:v>-0.25</x:v>
      </x:c>
      <x:c r="D144" s="161" t="n">
        <x:v>18.117739842125218</x:v>
      </x:c>
      <x:c r="E144" s="161" t="n">
        <x:v>21.982260157874784</x:v>
      </x:c>
      <x:c r="F144" s="162" t="n">
        <x:v>24.0077</x:v>
      </x:c>
      <x:c r="G144" s="158" t="n">
        <x:v>16.0923</x:v>
      </x:c>
      <x:c r="H144" s="158" t="n">
        <x:v>2.025439842125216</x:v>
      </x:c>
      <x:c r="I144" s="157" t="n">
        <x:v>0.09213974484783066</x:v>
      </x:c>
      <x:c r="J144" s="36" t="str">
        <x:v>Leitura real — sequência serpentina</x:v>
      </x:c>
    </x:row>
    <x:row r="145">
      <x:c r="A145" s="40" t="n">
        <x:v>133</x:v>
      </x:c>
      <x:c r="B145" s="41" t="n">
        <x:v>2.45</x:v>
      </x:c>
      <x:c r="C145" s="41" t="n">
        <x:v>-0.25</x:v>
      </x:c>
      <x:c r="D145" s="161" t="n">
        <x:v>15.19877241359857</x:v>
      </x:c>
      <x:c r="E145" s="161" t="n">
        <x:v>24.901227586401433</x:v>
      </x:c>
      <x:c r="F145" s="162" t="n">
        <x:v>24.2599</x:v>
      </x:c>
      <x:c r="G145" s="158" t="n">
        <x:v>15.840100000000003</x:v>
      </x:c>
      <x:c r="H145" s="158" t="n">
        <x:v>-0.6413275864014345</x:v>
      </x:c>
      <x:c r="I145" s="157" t="n">
        <x:v>-0.02575485823645352</x:v>
      </x:c>
      <x:c r="J145" s="36" t="str">
        <x:v>Leitura real — sequência serpentina</x:v>
      </x:c>
    </x:row>
    <x:row r="146">
      <x:c r="A146" s="40" t="n">
        <x:v>134</x:v>
      </x:c>
      <x:c r="B146" s="41" t="n">
        <x:v>2.7</x:v>
      </x:c>
      <x:c r="C146" s="41" t="n">
        <x:v>-0.25</x:v>
      </x:c>
      <x:c r="D146" s="161" t="n">
        <x:v>12.400517428960084</x:v>
      </x:c>
      <x:c r="E146" s="161" t="n">
        <x:v>27.699482571039916</x:v>
      </x:c>
      <x:c r="F146" s="162" t="n">
        <x:v>27.4125</x:v>
      </x:c>
      <x:c r="G146" s="158" t="n">
        <x:v>12.6875</x:v>
      </x:c>
      <x:c r="H146" s="158" t="n">
        <x:v>-0.2869825710399141</x:v>
      </x:c>
      <x:c r="I146" s="157" t="n">
        <x:v>-0.010360575158900522</x:v>
      </x:c>
      <x:c r="J146" s="36" t="str">
        <x:v>Leitura real — sequência serpentina</x:v>
      </x:c>
    </x:row>
    <x:row r="147">
      <x:c r="A147" s="40" t="n">
        <x:v>135</x:v>
      </x:c>
      <x:c r="B147" s="41" t="n">
        <x:v>2.95</x:v>
      </x:c>
      <x:c r="C147" s="41" t="n">
        <x:v>-0.25</x:v>
      </x:c>
      <x:c r="D147" s="161" t="n">
        <x:v>10.28374339522826</x:v>
      </x:c>
      <x:c r="E147" s="161" t="n">
        <x:v>29.81625660477174</x:v>
      </x:c>
      <x:c r="F147" s="162" t="n">
        <x:v>32.7334</x:v>
      </x:c>
      <x:c r="G147" s="158" t="n">
        <x:v>7.366599999999998</x:v>
      </x:c>
      <x:c r="H147" s="158" t="n">
        <x:v>2.917143395228262</x:v>
      </x:c>
      <x:c r="I147" s="157" t="n">
        <x:v>0.09783734537491898</x:v>
      </x:c>
      <x:c r="J147" s="36" t="str">
        <x:v>Leitura real — sequência serpentina</x:v>
      </x:c>
    </x:row>
    <x:row r="148">
      <x:c r="A148" s="40" t="n">
        <x:v>136</x:v>
      </x:c>
      <x:c r="B148" s="41" t="n">
        <x:v>3.2</x:v>
      </x:c>
      <x:c r="C148" s="41" t="n">
        <x:v>-0.25</x:v>
      </x:c>
      <x:c r="D148" s="161" t="n">
        <x:v>8.760322938563753</x:v>
      </x:c>
      <x:c r="E148" s="161" t="n">
        <x:v>31.339677061436248</x:v>
      </x:c>
      <x:c r="F148" s="162" t="n">
        <x:v>32.9909</x:v>
      </x:c>
      <x:c r="G148" s="158" t="n">
        <x:v>7.109099999999998</x:v>
      </x:c>
      <x:c r="H148" s="158" t="n">
        <x:v>1.6512229385637553</x:v>
      </x:c>
      <x:c r="I148" s="157" t="n">
        <x:v>0.05268793725368663</x:v>
      </x:c>
      <x:c r="J148" s="36" t="str">
        <x:v>Leitura real — sequência serpentina</x:v>
      </x:c>
    </x:row>
    <x:row r="149">
      <x:c r="A149" s="40" t="n">
        <x:v>137</x:v>
      </x:c>
      <x:c r="B149" s="41" t="n">
        <x:v>-0.8</x:v>
      </x:c>
      <x:c r="C149" s="41" t="n">
        <x:v>0</x:v>
      </x:c>
      <x:c r="D149" s="161" t="n">
        <x:v>8.8860540272841</x:v>
      </x:c>
      <x:c r="E149" s="161" t="n">
        <x:v>31.2139459727159</x:v>
      </x:c>
      <x:c r="F149" s="162" t="n">
        <x:v>33.4883</x:v>
      </x:c>
      <x:c r="G149" s="158" t="n">
        <x:v>6.611699999999999</x:v>
      </x:c>
      <x:c r="H149" s="158" t="n">
        <x:v>2.274354027284101</x:v>
      </x:c>
      <x:c r="I149" s="157" t="n">
        <x:v>0.07286339347393352</x:v>
      </x:c>
      <x:c r="J149" s="36" t="str">
        <x:v>Leitura real — sequência serpentina</x:v>
      </x:c>
    </x:row>
    <x:row r="150">
      <x:c r="A150" s="40" t="n">
        <x:v>138</x:v>
      </x:c>
      <x:c r="B150" s="41" t="n">
        <x:v>-0.55</x:v>
      </x:c>
      <x:c r="C150" s="41" t="n">
        <x:v>0</x:v>
      </x:c>
      <x:c r="D150" s="161" t="n">
        <x:v>10.51663095252422</x:v>
      </x:c>
      <x:c r="E150" s="161" t="n">
        <x:v>29.58336904747578</x:v>
      </x:c>
      <x:c r="F150" s="162" t="n">
        <x:v>33.6335</x:v>
      </x:c>
      <x:c r="G150" s="158" t="n">
        <x:v>6.4665000000000035</x:v>
      </x:c>
      <x:c r="H150" s="158" t="n">
        <x:v>4.050130952524217</x:v>
      </x:c>
      <x:c r="I150" s="157" t="n">
        <x:v>0.1369056697370916</x:v>
      </x:c>
      <x:c r="J150" s="36" t="str">
        <x:v>Leitura real — sequência serpentina</x:v>
      </x:c>
    </x:row>
    <x:row r="151">
      <x:c r="A151" s="40" t="n">
        <x:v>139</x:v>
      </x:c>
      <x:c r="B151" s="41" t="n">
        <x:v>-0.30000000000000004</x:v>
      </x:c>
      <x:c r="C151" s="41" t="n">
        <x:v>0</x:v>
      </x:c>
      <x:c r="D151" s="161" t="n">
        <x:v>12.893045480054072</x:v>
      </x:c>
      <x:c r="E151" s="161" t="n">
        <x:v>27.20695451994593</x:v>
      </x:c>
      <x:c r="F151" s="162" t="n">
        <x:v>25.7179</x:v>
      </x:c>
      <x:c r="G151" s="158" t="n">
        <x:v>14.382100000000001</x:v>
      </x:c>
      <x:c r="H151" s="158" t="n">
        <x:v>-1.489054519945931</x:v>
      </x:c>
      <x:c r="I151" s="157" t="n">
        <x:v>-0.0547306578858092</x:v>
      </x:c>
      <x:c r="J151" s="36" t="str">
        <x:v>Leitura real — sequência serpentina</x:v>
      </x:c>
    </x:row>
    <x:row r="152">
      <x:c r="A152" s="40" t="n">
        <x:v>140</x:v>
      </x:c>
      <x:c r="B152" s="41" t="n">
        <x:v>-0.050000000000000044</x:v>
      </x:c>
      <x:c r="C152" s="41" t="n">
        <x:v>0</x:v>
      </x:c>
      <x:c r="D152" s="161" t="n">
        <x:v>16.276337882811443</x:v>
      </x:c>
      <x:c r="E152" s="161" t="n">
        <x:v>23.823662117188558</x:v>
      </x:c>
      <x:c r="F152" s="162" t="n">
        <x:v>20.1015</x:v>
      </x:c>
      <x:c r="G152" s="158" t="n">
        <x:v>19.9985</x:v>
      </x:c>
      <x:c r="H152" s="158" t="n">
        <x:v>-3.7221621171885566</x:v>
      </x:c>
      <x:c r="I152" s="157" t="n">
        <x:v>-0.15623803338375294</x:v>
      </x:c>
      <x:c r="J152" s="36" t="str">
        <x:v>Leitura real — sequência serpentina</x:v>
      </x:c>
    </x:row>
    <x:row r="153">
      <x:c r="A153" s="40" t="n">
        <x:v>141</x:v>
      </x:c>
      <x:c r="B153" s="41" t="n">
        <x:v>0.19999999999999996</x:v>
      </x:c>
      <x:c r="C153" s="41" t="n">
        <x:v>0</x:v>
      </x:c>
      <x:c r="D153" s="161" t="n">
        <x:v>19.894564459371562</x:v>
      </x:c>
      <x:c r="E153" s="161" t="n">
        <x:v>20.20543554062844</x:v>
      </x:c>
      <x:c r="F153" s="162" t="n">
        <x:v>22.544</x:v>
      </x:c>
      <x:c r="G153" s="158" t="n">
        <x:v>17.556</x:v>
      </x:c>
      <x:c r="H153" s="158" t="n">
        <x:v>2.338564459371561</x:v>
      </x:c>
      <x:c r="I153" s="157" t="n">
        <x:v>0.1157393739258553</x:v>
      </x:c>
      <x:c r="J153" s="36" t="str">
        <x:v>Leitura real — sequência serpentina</x:v>
      </x:c>
    </x:row>
    <x:row r="154">
      <x:c r="A154" s="40" t="n">
        <x:v>142</x:v>
      </x:c>
      <x:c r="B154" s="41" t="n">
        <x:v>0.44999999999999996</x:v>
      </x:c>
      <x:c r="C154" s="41" t="n">
        <x:v>0</x:v>
      </x:c>
      <x:c r="D154" s="161" t="n">
        <x:v>22.483444734176896</x:v>
      </x:c>
      <x:c r="E154" s="161" t="n">
        <x:v>17.616555265823106</x:v>
      </x:c>
      <x:c r="F154" s="162" t="n">
        <x:v>16.0965</x:v>
      </x:c>
      <x:c r="G154" s="158" t="n">
        <x:v>24.003500000000003</x:v>
      </x:c>
      <x:c r="H154" s="158" t="n">
        <x:v>-1.5200552658231068</x:v>
      </x:c>
      <x:c r="I154" s="157" t="n">
        <x:v>-0.08628561275949793</x:v>
      </x:c>
      <x:c r="J154" s="36" t="str">
        <x:v>Leitura real — sequência serpentina</x:v>
      </x:c>
    </x:row>
    <x:row r="155">
      <x:c r="A155" s="40" t="n">
        <x:v>143</x:v>
      </x:c>
      <x:c r="B155" s="41" t="n">
        <x:v>0.7</x:v>
      </x:c>
      <x:c r="C155" s="41" t="n">
        <x:v>0</x:v>
      </x:c>
      <x:c r="D155" s="161" t="n">
        <x:v>24.031607175975598</x:v>
      </x:c>
      <x:c r="E155" s="161" t="n">
        <x:v>16.068392824024404</x:v>
      </x:c>
      <x:c r="F155" s="162" t="n">
        <x:v>16.3309</x:v>
      </x:c>
      <x:c r="G155" s="158" t="n">
        <x:v>23.7691</x:v>
      </x:c>
      <x:c r="H155" s="158" t="n">
        <x:v>0.26250717597559614</x:v>
      </x:c>
      <x:c r="I155" s="157" t="n">
        <x:v>0.016336865724561618</x:v>
      </x:c>
      <x:c r="J155" s="36" t="str">
        <x:v>Leitura real — sequência serpentina</x:v>
      </x:c>
    </x:row>
    <x:row r="156">
      <x:c r="A156" s="40" t="n">
        <x:v>144</x:v>
      </x:c>
      <x:c r="B156" s="41" t="n">
        <x:v>0.95</x:v>
      </x:c>
      <x:c r="C156" s="41" t="n">
        <x:v>0</x:v>
      </x:c>
      <x:c r="D156" s="161" t="n">
        <x:v>24.84736563829413</x:v>
      </x:c>
      <x:c r="E156" s="161" t="n">
        <x:v>15.252634361705873</x:v>
      </x:c>
      <x:c r="F156" s="162" t="n">
        <x:v>15.6212</x:v>
      </x:c>
      <x:c r="G156" s="158" t="n">
        <x:v>24.4788</x:v>
      </x:c>
      <x:c r="H156" s="158" t="n">
        <x:v>0.36856563829412714</x:v>
      </x:c>
      <x:c r="I156" s="157" t="n">
        <x:v>0.024164064354644788</x:v>
      </x:c>
      <x:c r="J156" s="36" t="str">
        <x:v>Leitura real — sequência serpentina</x:v>
      </x:c>
    </x:row>
    <x:row r="157">
      <x:c r="A157" s="40" t="n">
        <x:v>145</x:v>
      </x:c>
      <x:c r="B157" s="41" t="n">
        <x:v>1.2</x:v>
      </x:c>
      <x:c r="C157" s="41" t="n">
        <x:v>0</x:v>
      </x:c>
      <x:c r="D157" s="161" t="n">
        <x:v>25.102490312786554</x:v>
      </x:c>
      <x:c r="E157" s="161" t="n">
        <x:v>14.997509687213448</x:v>
      </x:c>
      <x:c r="F157" s="162" t="n">
        <x:v>14.1479</x:v>
      </x:c>
      <x:c r="G157" s="158" t="n">
        <x:v>25.9521</x:v>
      </x:c>
      <x:c r="H157" s="158" t="n">
        <x:v>-0.849609687213448</x:v>
      </x:c>
      <x:c r="I157" s="157" t="n">
        <x:v>-0.05665005090397153</x:v>
      </x:c>
      <x:c r="J157" s="36" t="str">
        <x:v>Leitura real — sequência serpentina</x:v>
      </x:c>
    </x:row>
    <x:row r="158">
      <x:c r="A158" s="40" t="n">
        <x:v>146</x:v>
      </x:c>
      <x:c r="B158" s="41" t="n">
        <x:v>1.45</x:v>
      </x:c>
      <x:c r="C158" s="41" t="n">
        <x:v>0</x:v>
      </x:c>
      <x:c r="D158" s="161" t="n">
        <x:v>24.84736563829413</x:v>
      </x:c>
      <x:c r="E158" s="161" t="n">
        <x:v>15.252634361705873</x:v>
      </x:c>
      <x:c r="F158" s="162" t="n">
        <x:v>16.9933</x:v>
      </x:c>
      <x:c r="G158" s="158" t="n">
        <x:v>23.1067</x:v>
      </x:c>
      <x:c r="H158" s="158" t="n">
        <x:v>1.7406656382941286</x:v>
      </x:c>
      <x:c r="I158" s="157" t="n">
        <x:v>0.1141222950092046</x:v>
      </x:c>
      <x:c r="J158" s="36" t="str">
        <x:v>Leitura real — sequência serpentina</x:v>
      </x:c>
    </x:row>
    <x:row r="159">
      <x:c r="A159" s="40" t="n">
        <x:v>147</x:v>
      </x:c>
      <x:c r="B159" s="41" t="n">
        <x:v>1.7</x:v>
      </x:c>
      <x:c r="C159" s="41" t="n">
        <x:v>0</x:v>
      </x:c>
      <x:c r="D159" s="161" t="n">
        <x:v>24.031607175975598</x:v>
      </x:c>
      <x:c r="E159" s="161" t="n">
        <x:v>16.068392824024404</x:v>
      </x:c>
      <x:c r="F159" s="162" t="n">
        <x:v>17.8853</x:v>
      </x:c>
      <x:c r="G159" s="158" t="n">
        <x:v>22.2147</x:v>
      </x:c>
      <x:c r="H159" s="158" t="n">
        <x:v>1.8169071759755973</x:v>
      </x:c>
      <x:c r="I159" s="157" t="n">
        <x:v>0.11307336059516028</x:v>
      </x:c>
      <x:c r="J159" s="36" t="str">
        <x:v>Leitura real — sequência serpentina</x:v>
      </x:c>
    </x:row>
    <x:row r="160">
      <x:c r="A160" s="40" t="n">
        <x:v>148</x:v>
      </x:c>
      <x:c r="B160" s="41" t="n">
        <x:v>1.95</x:v>
      </x:c>
      <x:c r="C160" s="41" t="n">
        <x:v>0</x:v>
      </x:c>
      <x:c r="D160" s="161" t="n">
        <x:v>22.483444734176896</x:v>
      </x:c>
      <x:c r="E160" s="161" t="n">
        <x:v>17.616555265823106</x:v>
      </x:c>
      <x:c r="F160" s="162" t="n">
        <x:v>18.3882</x:v>
      </x:c>
      <x:c r="G160" s="158" t="n">
        <x:v>21.7118</x:v>
      </x:c>
      <x:c r="H160" s="158" t="n">
        <x:v>0.7716447341768955</x:v>
      </x:c>
      <x:c r="I160" s="157" t="n">
        <x:v>0.04380224865379444</x:v>
      </x:c>
      <x:c r="J160" s="36" t="str">
        <x:v>Leitura real — sequência serpentina</x:v>
      </x:c>
    </x:row>
    <x:row r="161">
      <x:c r="A161" s="40" t="n">
        <x:v>149</x:v>
      </x:c>
      <x:c r="B161" s="41" t="n">
        <x:v>2.2</x:v>
      </x:c>
      <x:c r="C161" s="41" t="n">
        <x:v>0</x:v>
      </x:c>
      <x:c r="D161" s="161" t="n">
        <x:v>19.89456445937156</x:v>
      </x:c>
      <x:c r="E161" s="161" t="n">
        <x:v>20.205435540628443</x:v>
      </x:c>
      <x:c r="F161" s="162" t="n">
        <x:v>20.2689</x:v>
      </x:c>
      <x:c r="G161" s="158" t="n">
        <x:v>19.831100000000003</x:v>
      </x:c>
      <x:c r="H161" s="158" t="n">
        <x:v>0.06346445937155565</x:v>
      </x:c>
      <x:c r="I161" s="157" t="n">
        <x:v>0.0031409597305607864</x:v>
      </x:c>
      <x:c r="J161" s="36" t="str">
        <x:v>Leitura real — sequência serpentina</x:v>
      </x:c>
    </x:row>
    <x:row r="162">
      <x:c r="A162" s="40" t="n">
        <x:v>150</x:v>
      </x:c>
      <x:c r="B162" s="41" t="n">
        <x:v>2.45</x:v>
      </x:c>
      <x:c r="C162" s="41" t="n">
        <x:v>0</x:v>
      </x:c>
      <x:c r="D162" s="161" t="n">
        <x:v>16.276337882811436</x:v>
      </x:c>
      <x:c r="E162" s="161" t="n">
        <x:v>23.823662117188565</x:v>
      </x:c>
      <x:c r="F162" s="162" t="n">
        <x:v>24.2407</x:v>
      </x:c>
      <x:c r="G162" s="158" t="n">
        <x:v>15.859300000000001</x:v>
      </x:c>
      <x:c r="H162" s="158" t="n">
        <x:v>0.41703788281143517</x:v>
      </x:c>
      <x:c r="I162" s="157" t="n">
        <x:v>0.017505196336315816</x:v>
      </x:c>
      <x:c r="J162" s="36" t="str">
        <x:v>Leitura real — sequência serpentina</x:v>
      </x:c>
    </x:row>
    <x:row r="163">
      <x:c r="A163" s="40" t="n">
        <x:v>151</x:v>
      </x:c>
      <x:c r="B163" s="41" t="n">
        <x:v>2.7</x:v>
      </x:c>
      <x:c r="C163" s="41" t="n">
        <x:v>0</x:v>
      </x:c>
      <x:c r="D163" s="161" t="n">
        <x:v>12.89304548005407</x:v>
      </x:c>
      <x:c r="E163" s="161" t="n">
        <x:v>27.20695451994593</x:v>
      </x:c>
      <x:c r="F163" s="162" t="n">
        <x:v>25.2595</x:v>
      </x:c>
      <x:c r="G163" s="158" t="n">
        <x:v>14.840500000000002</x:v>
      </x:c>
      <x:c r="H163" s="158" t="n">
        <x:v>-1.947454519945932</x:v>
      </x:c>
      <x:c r="I163" s="157" t="n">
        <x:v>-0.07157929118888395</x:v>
      </x:c>
      <x:c r="J163" s="36" t="str">
        <x:v>Leitura real — sequência serpentina</x:v>
      </x:c>
    </x:row>
    <x:row r="164">
      <x:c r="A164" s="40" t="n">
        <x:v>152</x:v>
      </x:c>
      <x:c r="B164" s="41" t="n">
        <x:v>2.95</x:v>
      </x:c>
      <x:c r="C164" s="41" t="n">
        <x:v>0</x:v>
      </x:c>
      <x:c r="D164" s="161" t="n">
        <x:v>10.516630952524219</x:v>
      </x:c>
      <x:c r="E164" s="161" t="n">
        <x:v>29.583369047475784</x:v>
      </x:c>
      <x:c r="F164" s="162" t="n">
        <x:v>29.1823</x:v>
      </x:c>
      <x:c r="G164" s="158" t="n">
        <x:v>10.9177</x:v>
      </x:c>
      <x:c r="H164" s="158" t="n">
        <x:v>-0.401069047475783</x:v>
      </x:c>
      <x:c r="I164" s="157" t="n">
        <x:v>-0.0135572472098138</x:v>
      </x:c>
      <x:c r="J164" s="36" t="str">
        <x:v>Leitura real — sequência serpentina</x:v>
      </x:c>
    </x:row>
    <x:row r="165">
      <x:c r="A165" s="40" t="n">
        <x:v>153</x:v>
      </x:c>
      <x:c r="B165" s="41" t="n">
        <x:v>3.2</x:v>
      </x:c>
      <x:c r="C165" s="41" t="n">
        <x:v>0</x:v>
      </x:c>
      <x:c r="D165" s="161" t="n">
        <x:v>8.886054027284098</x:v>
      </x:c>
      <x:c r="E165" s="161" t="n">
        <x:v>31.213945972715905</x:v>
      </x:c>
      <x:c r="F165" s="162" t="n">
        <x:v>31.0551</x:v>
      </x:c>
      <x:c r="G165" s="158" t="n">
        <x:v>9.044900000000002</x:v>
      </x:c>
      <x:c r="H165" s="158" t="n">
        <x:v>-0.1588459727159055</x:v>
      </x:c>
      <x:c r="I165" s="157" t="n">
        <x:v>-0.005088942386673978</x:v>
      </x:c>
      <x:c r="J165" s="36" t="str">
        <x:v>Leitura real — sequência serpentina</x:v>
      </x:c>
    </x:row>
    <x:row r="166">
      <x:c r="A166" s="40" t="n">
        <x:v>154</x:v>
      </x:c>
      <x:c r="B166" s="41" t="n">
        <x:v>-0.8</x:v>
      </x:c>
      <x:c r="C166" s="41" t="n">
        <x:v>0.25</x:v>
      </x:c>
      <x:c r="D166" s="161" t="n">
        <x:v>8.760322938563753</x:v>
      </x:c>
      <x:c r="E166" s="161" t="n">
        <x:v>31.339677061436248</x:v>
      </x:c>
      <x:c r="F166" s="162" t="n">
        <x:v>34.2081</x:v>
      </x:c>
      <x:c r="G166" s="158" t="n">
        <x:v>5.8919</x:v>
      </x:c>
      <x:c r="H166" s="158" t="n">
        <x:v>2.8684229385637536</x:v>
      </x:c>
      <x:c r="I166" s="157" t="n">
        <x:v>0.09152688245449005</x:v>
      </x:c>
      <x:c r="J166" s="36" t="str">
        <x:v>Leitura real — sequência serpentina</x:v>
      </x:c>
    </x:row>
    <x:row r="167">
      <x:c r="A167" s="40" t="n">
        <x:v>155</x:v>
      </x:c>
      <x:c r="B167" s="41" t="n">
        <x:v>-0.55</x:v>
      </x:c>
      <x:c r="C167" s="41" t="n">
        <x:v>0.25</x:v>
      </x:c>
      <x:c r="D167" s="161" t="n">
        <x:v>10.283743395228262</x:v>
      </x:c>
      <x:c r="E167" s="161" t="n">
        <x:v>29.816256604771738</x:v>
      </x:c>
      <x:c r="F167" s="162" t="n">
        <x:v>27.8911</x:v>
      </x:c>
      <x:c r="G167" s="158" t="n">
        <x:v>12.2089</x:v>
      </x:c>
      <x:c r="H167" s="158" t="n">
        <x:v>-1.9251566047717361</x:v>
      </x:c>
      <x:c r="I167" s="157" t="n">
        <x:v>-0.06456734761477863</x:v>
      </x:c>
      <x:c r="J167" s="36" t="str">
        <x:v>Leitura real — sequência serpentina</x:v>
      </x:c>
    </x:row>
    <x:row r="168">
      <x:c r="A168" s="40" t="n">
        <x:v>156</x:v>
      </x:c>
      <x:c r="B168" s="41" t="n">
        <x:v>-0.30000000000000004</x:v>
      </x:c>
      <x:c r="C168" s="41" t="n">
        <x:v>0.25</x:v>
      </x:c>
      <x:c r="D168" s="161" t="n">
        <x:v>12.400517428960088</x:v>
      </x:c>
      <x:c r="E168" s="161" t="n">
        <x:v>27.699482571039916</x:v>
      </x:c>
      <x:c r="F168" s="162" t="n">
        <x:v>28.9954</x:v>
      </x:c>
      <x:c r="G168" s="158" t="n">
        <x:v>11.104600000000001</x:v>
      </x:c>
      <x:c r="H168" s="158" t="n">
        <x:v>1.2959174289600845</x:v>
      </x:c>
      <x:c r="I168" s="157" t="n">
        <x:v>0.04678489663611909</x:v>
      </x:c>
      <x:c r="J168" s="36" t="str">
        <x:v>Leitura real — sequência serpentina</x:v>
      </x:c>
    </x:row>
    <x:row r="169">
      <x:c r="A169" s="40" t="n">
        <x:v>157</x:v>
      </x:c>
      <x:c r="B169" s="41" t="n">
        <x:v>-0.050000000000000044</x:v>
      </x:c>
      <x:c r="C169" s="41" t="n">
        <x:v>0.25</x:v>
      </x:c>
      <x:c r="D169" s="161" t="n">
        <x:v>15.198772413598574</x:v>
      </x:c>
      <x:c r="E169" s="161" t="n">
        <x:v>24.901227586401426</x:v>
      </x:c>
      <x:c r="F169" s="162" t="n">
        <x:v>26.1461</x:v>
      </x:c>
      <x:c r="G169" s="158" t="n">
        <x:v>13.9539</x:v>
      </x:c>
      <x:c r="H169" s="158" t="n">
        <x:v>1.244872413598575</x:v>
      </x:c>
      <x:c r="I169" s="157" t="n">
        <x:v>0.049992411389324455</x:v>
      </x:c>
      <x:c r="J169" s="36" t="str">
        <x:v>Leitura real — sequência serpentina</x:v>
      </x:c>
    </x:row>
    <x:row r="170">
      <x:c r="A170" s="40" t="n">
        <x:v>158</x:v>
      </x:c>
      <x:c r="B170" s="41" t="n">
        <x:v>0.19999999999999996</x:v>
      </x:c>
      <x:c r="C170" s="41" t="n">
        <x:v>0.25</x:v>
      </x:c>
      <x:c r="D170" s="161" t="n">
        <x:v>18.11773984212522</x:v>
      </x:c>
      <x:c r="E170" s="161" t="n">
        <x:v>21.98226015787478</x:v>
      </x:c>
      <x:c r="F170" s="162" t="n">
        <x:v>20.507</x:v>
      </x:c>
      <x:c r="G170" s="158" t="n">
        <x:v>19.593</x:v>
      </x:c>
      <x:c r="H170" s="158" t="n">
        <x:v>-1.4752601578747786</x:v>
      </x:c>
      <x:c r="I170" s="157" t="n">
        <x:v>-0.06711139561080534</x:v>
      </x:c>
      <x:c r="J170" s="36" t="str">
        <x:v>Leitura real — sequência serpentina</x:v>
      </x:c>
    </x:row>
    <x:row r="171">
      <x:c r="A171" s="40" t="n">
        <x:v>159</x:v>
      </x:c>
      <x:c r="B171" s="41" t="n">
        <x:v>0.44999999999999996</x:v>
      </x:c>
      <x:c r="C171" s="41" t="n">
        <x:v>0.25</x:v>
      </x:c>
      <x:c r="D171" s="161" t="n">
        <x:v>20.337981726393945</x:v>
      </x:c>
      <x:c r="E171" s="161" t="n">
        <x:v>19.762018273606056</x:v>
      </x:c>
      <x:c r="F171" s="162" t="n">
        <x:v>23.298</x:v>
      </x:c>
      <x:c r="G171" s="158" t="n">
        <x:v>16.802000000000003</x:v>
      </x:c>
      <x:c r="H171" s="158" t="n">
        <x:v>3.535981726393942</x:v>
      </x:c>
      <x:c r="I171" s="157" t="n">
        <x:v>0.17892816803618494</x:v>
      </x:c>
      <x:c r="J171" s="36" t="str">
        <x:v>Leitura real — sequência serpentina</x:v>
      </x:c>
    </x:row>
    <x:row r="172">
      <x:c r="A172" s="40" t="n">
        <x:v>160</x:v>
      </x:c>
      <x:c r="B172" s="41" t="n">
        <x:v>0.7</x:v>
      </x:c>
      <x:c r="C172" s="41" t="n">
        <x:v>0.25</x:v>
      </x:c>
      <x:c r="D172" s="161" t="n">
        <x:v>21.741239012055036</x:v>
      </x:c>
      <x:c r="E172" s="161" t="n">
        <x:v>18.358760987944965</x:v>
      </x:c>
      <x:c r="F172" s="162" t="n">
        <x:v>17.1073</x:v>
      </x:c>
      <x:c r="G172" s="158" t="n">
        <x:v>22.992700000000003</x:v>
      </x:c>
      <x:c r="H172" s="158" t="n">
        <x:v>-1.2514609879449665</x:v>
      </x:c>
      <x:c r="I172" s="157" t="n">
        <x:v>-0.06816696337877712</x:v>
      </x:c>
      <x:c r="J172" s="36" t="str">
        <x:v>Leitura real — sequência serpentina</x:v>
      </x:c>
    </x:row>
    <x:row r="173">
      <x:c r="A173" s="40" t="n">
        <x:v>161</x:v>
      </x:c>
      <x:c r="B173" s="41" t="n">
        <x:v>0.95</x:v>
      </x:c>
      <x:c r="C173" s="41" t="n">
        <x:v>0.25</x:v>
      </x:c>
      <x:c r="D173" s="161" t="n">
        <x:v>22.500967254694935</x:v>
      </x:c>
      <x:c r="E173" s="161" t="n">
        <x:v>17.599032745305067</x:v>
      </x:c>
      <x:c r="F173" s="162" t="n">
        <x:v>18.2624</x:v>
      </x:c>
      <x:c r="G173" s="158" t="n">
        <x:v>21.837600000000002</x:v>
      </x:c>
      <x:c r="H173" s="158" t="n">
        <x:v>0.6633672546949327</x:v>
      </x:c>
      <x:c r="I173" s="157" t="n">
        <x:v>0.037693392829892924</x:v>
      </x:c>
      <x:c r="J173" s="36" t="str">
        <x:v>Leitura real — sequência serpentina</x:v>
      </x:c>
    </x:row>
    <x:row r="174">
      <x:c r="A174" s="40" t="n">
        <x:v>162</x:v>
      </x:c>
      <x:c r="B174" s="41" t="n">
        <x:v>1.2</x:v>
      </x:c>
      <x:c r="C174" s="41" t="n">
        <x:v>0.25</x:v>
      </x:c>
      <x:c r="D174" s="161" t="n">
        <x:v>22.7410827567435</x:v>
      </x:c>
      <x:c r="E174" s="161" t="n">
        <x:v>17.358917243256503</x:v>
      </x:c>
      <x:c r="F174" s="162" t="n">
        <x:v>20.6565</x:v>
      </x:c>
      <x:c r="G174" s="158" t="n">
        <x:v>19.4435</x:v>
      </x:c>
      <x:c r="H174" s="158" t="n">
        <x:v>3.2975827567434983</x:v>
      </x:c>
      <x:c r="I174" s="157" t="n">
        <x:v>0.18996477202658046</x:v>
      </x:c>
      <x:c r="J174" s="36" t="str">
        <x:v>Leitura real — sequência serpentina</x:v>
      </x:c>
    </x:row>
    <x:row r="175">
      <x:c r="A175" s="40" t="n">
        <x:v>163</x:v>
      </x:c>
      <x:c r="B175" s="41" t="n">
        <x:v>1.45</x:v>
      </x:c>
      <x:c r="C175" s="41" t="n">
        <x:v>0.25</x:v>
      </x:c>
      <x:c r="D175" s="161" t="n">
        <x:v>22.500967254694935</x:v>
      </x:c>
      <x:c r="E175" s="161" t="n">
        <x:v>17.599032745305067</x:v>
      </x:c>
      <x:c r="F175" s="162" t="n">
        <x:v>18.3046</x:v>
      </x:c>
      <x:c r="G175" s="158" t="n">
        <x:v>21.7954</x:v>
      </x:c>
      <x:c r="H175" s="158" t="n">
        <x:v>0.7055672546949339</x:v>
      </x:c>
      <x:c r="I175" s="157" t="n">
        <x:v>0.04009125188332635</x:v>
      </x:c>
      <x:c r="J175" s="36" t="str">
        <x:v>Leitura real — sequência serpentina</x:v>
      </x:c>
    </x:row>
    <x:row r="176">
      <x:c r="A176" s="40" t="n">
        <x:v>164</x:v>
      </x:c>
      <x:c r="B176" s="41" t="n">
        <x:v>1.7</x:v>
      </x:c>
      <x:c r="C176" s="41" t="n">
        <x:v>0.25</x:v>
      </x:c>
      <x:c r="D176" s="161" t="n">
        <x:v>21.741239012055036</x:v>
      </x:c>
      <x:c r="E176" s="161" t="n">
        <x:v>18.358760987944965</x:v>
      </x:c>
      <x:c r="F176" s="162" t="n">
        <x:v>19.2557</x:v>
      </x:c>
      <x:c r="G176" s="158" t="n">
        <x:v>20.8443</x:v>
      </x:c>
      <x:c r="H176" s="158" t="n">
        <x:v>0.8969390120550358</x:v>
      </x:c>
      <x:c r="I176" s="157" t="n">
        <x:v>0.048856184393053476</x:v>
      </x:c>
      <x:c r="J176" s="36" t="str">
        <x:v>Leitura real — sequência serpentina</x:v>
      </x:c>
    </x:row>
    <x:row r="177">
      <x:c r="A177" s="40" t="n">
        <x:v>165</x:v>
      </x:c>
      <x:c r="B177" s="41" t="n">
        <x:v>1.95</x:v>
      </x:c>
      <x:c r="C177" s="41" t="n">
        <x:v>0.25</x:v>
      </x:c>
      <x:c r="D177" s="161" t="n">
        <x:v>20.337981726393945</x:v>
      </x:c>
      <x:c r="E177" s="161" t="n">
        <x:v>19.762018273606056</x:v>
      </x:c>
      <x:c r="F177" s="162" t="n">
        <x:v>20.4038</x:v>
      </x:c>
      <x:c r="G177" s="158" t="n">
        <x:v>19.6962</x:v>
      </x:c>
      <x:c r="H177" s="158" t="n">
        <x:v>0.641781726393944</x:v>
      </x:c>
      <x:c r="I177" s="157" t="n">
        <x:v>0.032475515279282025</x:v>
      </x:c>
      <x:c r="J177" s="36" t="str">
        <x:v>Leitura real — sequência serpentina</x:v>
      </x:c>
    </x:row>
    <x:row r="178">
      <x:c r="A178" s="40" t="n">
        <x:v>166</x:v>
      </x:c>
      <x:c r="B178" s="41" t="n">
        <x:v>2.2</x:v>
      </x:c>
      <x:c r="C178" s="41" t="n">
        <x:v>0.25</x:v>
      </x:c>
      <x:c r="D178" s="161" t="n">
        <x:v>18.117739842125218</x:v>
      </x:c>
      <x:c r="E178" s="161" t="n">
        <x:v>21.982260157874784</x:v>
      </x:c>
      <x:c r="F178" s="162" t="n">
        <x:v>18.5613</x:v>
      </x:c>
      <x:c r="G178" s="158" t="n">
        <x:v>21.538700000000002</x:v>
      </x:c>
      <x:c r="H178" s="158" t="n">
        <x:v>-3.4209601578747844</x:v>
      </x:c>
      <x:c r="I178" s="157" t="n">
        <x:v>-0.15562367715174555</x:v>
      </x:c>
      <x:c r="J178" s="36" t="str">
        <x:v>Leitura real — sequência serpentina</x:v>
      </x:c>
    </x:row>
    <x:row r="179">
      <x:c r="A179" s="40" t="n">
        <x:v>167</x:v>
      </x:c>
      <x:c r="B179" s="41" t="n">
        <x:v>2.45</x:v>
      </x:c>
      <x:c r="C179" s="41" t="n">
        <x:v>0.25</x:v>
      </x:c>
      <x:c r="D179" s="161" t="n">
        <x:v>15.19877241359857</x:v>
      </x:c>
      <x:c r="E179" s="161" t="n">
        <x:v>24.901227586401433</x:v>
      </x:c>
      <x:c r="F179" s="162" t="n">
        <x:v>24.1139</x:v>
      </x:c>
      <x:c r="G179" s="158" t="n">
        <x:v>15.9861</x:v>
      </x:c>
      <x:c r="H179" s="158" t="n">
        <x:v>-0.7873275864014317</x:v>
      </x:c>
      <x:c r="I179" s="157" t="n">
        <x:v>-0.031618022993829896</x:v>
      </x:c>
      <x:c r="J179" s="36" t="str">
        <x:v>Leitura real — sequência serpentina</x:v>
      </x:c>
    </x:row>
    <x:row r="180">
      <x:c r="A180" s="40" t="n">
        <x:v>168</x:v>
      </x:c>
      <x:c r="B180" s="41" t="n">
        <x:v>2.7</x:v>
      </x:c>
      <x:c r="C180" s="41" t="n">
        <x:v>0.25</x:v>
      </x:c>
      <x:c r="D180" s="161" t="n">
        <x:v>12.400517428960084</x:v>
      </x:c>
      <x:c r="E180" s="161" t="n">
        <x:v>27.699482571039916</x:v>
      </x:c>
      <x:c r="F180" s="162" t="n">
        <x:v>24.9915</x:v>
      </x:c>
      <x:c r="G180" s="158" t="n">
        <x:v>15.108500000000003</x:v>
      </x:c>
      <x:c r="H180" s="158" t="n">
        <x:v>-2.707982571039917</x:v>
      </x:c>
      <x:c r="I180" s="157" t="n">
        <x:v>-0.09776292983433343</x:v>
      </x:c>
      <x:c r="J180" s="36" t="str">
        <x:v>Leitura real — sequência serpentina</x:v>
      </x:c>
    </x:row>
    <x:row r="181">
      <x:c r="A181" s="40" t="n">
        <x:v>169</x:v>
      </x:c>
      <x:c r="B181" s="41" t="n">
        <x:v>2.95</x:v>
      </x:c>
      <x:c r="C181" s="41" t="n">
        <x:v>0.25</x:v>
      </x:c>
      <x:c r="D181" s="161" t="n">
        <x:v>10.28374339522826</x:v>
      </x:c>
      <x:c r="E181" s="161" t="n">
        <x:v>29.81625660477174</x:v>
      </x:c>
      <x:c r="F181" s="162" t="n">
        <x:v>31.5751</x:v>
      </x:c>
      <x:c r="G181" s="158" t="n">
        <x:v>8.524900000000002</x:v>
      </x:c>
      <x:c r="H181" s="158" t="n">
        <x:v>1.7588433952282578</x:v>
      </x:c>
      <x:c r="I181" s="157" t="n">
        <x:v>0.05898941032546573</x:v>
      </x:c>
      <x:c r="J181" s="36" t="str">
        <x:v>Leitura real — sequência serpentina</x:v>
      </x:c>
    </x:row>
    <x:row r="182">
      <x:c r="A182" s="40" t="n">
        <x:v>170</x:v>
      </x:c>
      <x:c r="B182" s="41" t="n">
        <x:v>3.2</x:v>
      </x:c>
      <x:c r="C182" s="41" t="n">
        <x:v>0.25</x:v>
      </x:c>
      <x:c r="D182" s="161" t="n">
        <x:v>8.760322938563753</x:v>
      </x:c>
      <x:c r="E182" s="161" t="n">
        <x:v>31.339677061436248</x:v>
      </x:c>
      <x:c r="F182" s="162" t="n">
        <x:v>29.5516</x:v>
      </x:c>
      <x:c r="G182" s="158" t="n">
        <x:v>10.5484</x:v>
      </x:c>
      <x:c r="H182" s="158" t="n">
        <x:v>-1.7880770614362476</x:v>
      </x:c>
      <x:c r="I182" s="157" t="n">
        <x:v>-0.057054737926335954</x:v>
      </x:c>
      <x:c r="J182" s="36" t="str">
        <x:v>Leitura real — sequência serpentina</x:v>
      </x:c>
    </x:row>
    <x:row r="183">
      <x:c r="A183" s="40" t="n">
        <x:v>171</x:v>
      </x:c>
      <x:c r="B183" s="41" t="n">
        <x:v>-0.8</x:v>
      </x:c>
      <x:c r="C183" s="41" t="n">
        <x:v>0.5</x:v>
      </x:c>
      <x:c r="D183" s="161" t="n">
        <x:v>8.424805962434633</x:v>
      </x:c>
      <x:c r="E183" s="161" t="n">
        <x:v>31.67519403756537</x:v>
      </x:c>
      <x:c r="F183" s="162" t="n">
        <x:v>32.3154</x:v>
      </x:c>
      <x:c r="G183" s="158" t="n">
        <x:v>7.784600000000005</x:v>
      </x:c>
      <x:c r="H183" s="158" t="n">
        <x:v>0.6402059624346279</x:v>
      </x:c>
      <x:c r="I183" s="157" t="n">
        <x:v>0.020211587707256732</x:v>
      </x:c>
      <x:c r="J183" s="36" t="str">
        <x:v>Leitura real — sequência serpentina</x:v>
      </x:c>
    </x:row>
    <x:row r="184">
      <x:c r="A184" s="40" t="n">
        <x:v>172</x:v>
      </x:c>
      <x:c r="B184" s="41" t="n">
        <x:v>-0.55</x:v>
      </x:c>
      <x:c r="C184" s="41" t="n">
        <x:v>0.5</x:v>
      </x:c>
      <x:c r="D184" s="161" t="n">
        <x:v>9.705695616088205</x:v>
      </x:c>
      <x:c r="E184" s="161" t="n">
        <x:v>30.394304383911795</x:v>
      </x:c>
      <x:c r="F184" s="162" t="n">
        <x:v>31.4638</x:v>
      </x:c>
      <x:c r="G184" s="158" t="n">
        <x:v>8.636200000000002</x:v>
      </x:c>
      <x:c r="H184" s="158" t="n">
        <x:v>1.0694956160882043</x:v>
      </x:c>
      <x:c r="I184" s="157" t="n">
        <x:v>0.035187369402482724</x:v>
      </x:c>
      <x:c r="J184" s="36" t="str">
        <x:v>Leitura real — sequência serpentina</x:v>
      </x:c>
    </x:row>
    <x:row r="185">
      <x:c r="A185" s="40" t="n">
        <x:v>173</x:v>
      </x:c>
      <x:c r="B185" s="41" t="n">
        <x:v>-0.30000000000000004</x:v>
      </x:c>
      <x:c r="C185" s="41" t="n">
        <x:v>0.5</x:v>
      </x:c>
      <x:c r="D185" s="161" t="n">
        <x:v>11.332334441649332</x:v>
      </x:c>
      <x:c r="E185" s="161" t="n">
        <x:v>28.76766555835067</x:v>
      </x:c>
      <x:c r="F185" s="162" t="n">
        <x:v>27.3251</x:v>
      </x:c>
      <x:c r="G185" s="158" t="n">
        <x:v>12.774900000000002</x:v>
      </x:c>
      <x:c r="H185" s="158" t="n">
        <x:v>-1.4425655583506725</x:v>
      </x:c>
      <x:c r="I185" s="157" t="n">
        <x:v>-0.05014538129361438</x:v>
      </x:c>
      <x:c r="J185" s="36" t="str">
        <x:v>Leitura real — sequência serpentina</x:v>
      </x:c>
    </x:row>
    <x:row r="186">
      <x:c r="A186" s="40" t="n">
        <x:v>174</x:v>
      </x:c>
      <x:c r="B186" s="41" t="n">
        <x:v>-0.050000000000000044</x:v>
      </x:c>
      <x:c r="C186" s="41" t="n">
        <x:v>0.5</x:v>
      </x:c>
      <x:c r="D186" s="161" t="n">
        <x:v>13.259396239959758</x:v>
      </x:c>
      <x:c r="E186" s="161" t="n">
        <x:v>26.840603760040246</x:v>
      </x:c>
      <x:c r="F186" s="162" t="n">
        <x:v>29.1438</x:v>
      </x:c>
      <x:c r="G186" s="158" t="n">
        <x:v>10.956200000000003</x:v>
      </x:c>
      <x:c r="H186" s="158" t="n">
        <x:v>2.303196239959753</x:v>
      </x:c>
      <x:c r="I186" s="157" t="n">
        <x:v>0.08581015019448653</x:v>
      </x:c>
      <x:c r="J186" s="36" t="str">
        <x:v>Leitura real — sequência serpentina</x:v>
      </x:c>
    </x:row>
    <x:row r="187">
      <x:c r="A187" s="40" t="n">
        <x:v>175</x:v>
      </x:c>
      <x:c r="B187" s="41" t="n">
        <x:v>0.19999999999999996</x:v>
      </x:c>
      <x:c r="C187" s="41" t="n">
        <x:v>0.5</x:v>
      </x:c>
      <x:c r="D187" s="161" t="n">
        <x:v>15.199622458109813</x:v>
      </x:c>
      <x:c r="E187" s="161" t="n">
        <x:v>24.900377541890187</x:v>
      </x:c>
      <x:c r="F187" s="162" t="n">
        <x:v>23.3487</x:v>
      </x:c>
      <x:c r="G187" s="158" t="n">
        <x:v>16.7513</x:v>
      </x:c>
      <x:c r="H187" s="158" t="n">
        <x:v>-1.5516775418901858</x:v>
      </x:c>
      <x:c r="I187" s="157" t="n">
        <x:v>-0.06231542229750457</x:v>
      </x:c>
      <x:c r="J187" s="36" t="str">
        <x:v>Leitura real — sequência serpentina</x:v>
      </x:c>
    </x:row>
    <x:row r="188">
      <x:c r="A188" s="40" t="n">
        <x:v>176</x:v>
      </x:c>
      <x:c r="B188" s="41" t="n">
        <x:v>0.44999999999999996</x:v>
      </x:c>
      <x:c r="C188" s="41" t="n">
        <x:v>0.5</x:v>
      </x:c>
      <x:c r="D188" s="161" t="n">
        <x:v>16.791291615488234</x:v>
      </x:c>
      <x:c r="E188" s="161" t="n">
        <x:v>23.308708384511768</x:v>
      </x:c>
      <x:c r="F188" s="162" t="n">
        <x:v>20.3959</x:v>
      </x:c>
      <x:c r="G188" s="158" t="n">
        <x:v>19.7041</x:v>
      </x:c>
      <x:c r="H188" s="158" t="n">
        <x:v>-2.9128083845117665</x:v>
      </x:c>
      <x:c r="I188" s="157" t="n">
        <x:v>-0.12496652909550651</x:v>
      </x:c>
      <x:c r="J188" s="36" t="str">
        <x:v>Leitura real — sequência serpentina</x:v>
      </x:c>
    </x:row>
    <x:row r="189">
      <x:c r="A189" s="40" t="n">
        <x:v>177</x:v>
      </x:c>
      <x:c r="B189" s="41" t="n">
        <x:v>0.7</x:v>
      </x:c>
      <x:c r="C189" s="41" t="n">
        <x:v>0.5</x:v>
      </x:c>
      <x:c r="D189" s="161" t="n">
        <x:v>17.89024027816574</x:v>
      </x:c>
      <x:c r="E189" s="161" t="n">
        <x:v>22.20975972183426</x:v>
      </x:c>
      <x:c r="F189" s="162" t="n">
        <x:v>24.325</x:v>
      </x:c>
      <x:c r="G189" s="158" t="n">
        <x:v>15.775000000000002</x:v>
      </x:c>
      <x:c r="H189" s="158" t="n">
        <x:v>2.1152402781657393</x:v>
      </x:c>
      <x:c r="I189" s="157" t="n">
        <x:v>0.09523922386635554</x:v>
      </x:c>
      <x:c r="J189" s="36" t="str">
        <x:v>Leitura real — sequência serpentina</x:v>
      </x:c>
    </x:row>
    <x:row r="190">
      <x:c r="A190" s="40" t="n">
        <x:v>178</x:v>
      </x:c>
      <x:c r="B190" s="41" t="n">
        <x:v>0.95</x:v>
      </x:c>
      <x:c r="C190" s="41" t="n">
        <x:v>0.5</x:v>
      </x:c>
      <x:c r="D190" s="161" t="n">
        <x:v>18.517921649575495</x:v>
      </x:c>
      <x:c r="E190" s="161" t="n">
        <x:v>21.582078350424506</x:v>
      </x:c>
      <x:c r="F190" s="162" t="n">
        <x:v>20.9053</x:v>
      </x:c>
      <x:c r="G190" s="158" t="n">
        <x:v>19.1947</x:v>
      </x:c>
      <x:c r="H190" s="158" t="n">
        <x:v>-0.676778350424506</x:v>
      </x:c>
      <x:c r="I190" s="157" t="n">
        <x:v>-0.0313583492486577</x:v>
      </x:c>
      <x:c r="J190" s="36" t="str">
        <x:v>Leitura real — sequência serpentina</x:v>
      </x:c>
    </x:row>
    <x:row r="191">
      <x:c r="A191" s="40" t="n">
        <x:v>179</x:v>
      </x:c>
      <x:c r="B191" s="41" t="n">
        <x:v>1.2</x:v>
      </x:c>
      <x:c r="C191" s="41" t="n">
        <x:v>0.5</x:v>
      </x:c>
      <x:c r="D191" s="161" t="n">
        <x:v>18.720949647268117</x:v>
      </x:c>
      <x:c r="E191" s="161" t="n">
        <x:v>21.379050352731884</x:v>
      </x:c>
      <x:c r="F191" s="162" t="n">
        <x:v>21.4084</x:v>
      </x:c>
      <x:c r="G191" s="158" t="n">
        <x:v>18.6916</x:v>
      </x:c>
      <x:c r="H191" s="158" t="n">
        <x:v>0.029349647268116286</x:v>
      </x:c>
      <x:c r="I191" s="157" t="n">
        <x:v>0.0013728227766845542</x:v>
      </x:c>
      <x:c r="J191" s="36" t="str">
        <x:v>Leitura real — sequência serpentina</x:v>
      </x:c>
    </x:row>
    <x:row r="192">
      <x:c r="A192" s="40" t="n">
        <x:v>180</x:v>
      </x:c>
      <x:c r="B192" s="41" t="n">
        <x:v>1.45</x:v>
      </x:c>
      <x:c r="C192" s="41" t="n">
        <x:v>0.5</x:v>
      </x:c>
      <x:c r="D192" s="161" t="n">
        <x:v>18.517921649575495</x:v>
      </x:c>
      <x:c r="E192" s="161" t="n">
        <x:v>21.582078350424506</x:v>
      </x:c>
      <x:c r="F192" s="162" t="n">
        <x:v>24.4055</x:v>
      </x:c>
      <x:c r="G192" s="158" t="n">
        <x:v>15.694500000000001</x:v>
      </x:c>
      <x:c r="H192" s="158" t="n">
        <x:v>2.8234216495754936</x:v>
      </x:c>
      <x:c r="I192" s="157" t="n">
        <x:v>0.13082250947902607</x:v>
      </x:c>
      <x:c r="J192" s="36" t="str">
        <x:v>Leitura real — sequência serpentina</x:v>
      </x:c>
    </x:row>
    <x:row r="193">
      <x:c r="A193" s="40" t="n">
        <x:v>181</x:v>
      </x:c>
      <x:c r="B193" s="41" t="n">
        <x:v>1.7</x:v>
      </x:c>
      <x:c r="C193" s="41" t="n">
        <x:v>0.5</x:v>
      </x:c>
      <x:c r="D193" s="161" t="n">
        <x:v>17.89024027816574</x:v>
      </x:c>
      <x:c r="E193" s="161" t="n">
        <x:v>22.20975972183426</x:v>
      </x:c>
      <x:c r="F193" s="162" t="n">
        <x:v>24.1555</x:v>
      </x:c>
      <x:c r="G193" s="158" t="n">
        <x:v>15.944500000000001</x:v>
      </x:c>
      <x:c r="H193" s="158" t="n">
        <x:v>1.94574027816574</x:v>
      </x:c>
      <x:c r="I193" s="157" t="n">
        <x:v>0.08760744386860234</x:v>
      </x:c>
      <x:c r="J193" s="36" t="str">
        <x:v>Leitura real — sequência serpentina</x:v>
      </x:c>
    </x:row>
    <x:row r="194">
      <x:c r="A194" s="40" t="n">
        <x:v>182</x:v>
      </x:c>
      <x:c r="B194" s="41" t="n">
        <x:v>1.95</x:v>
      </x:c>
      <x:c r="C194" s="41" t="n">
        <x:v>0.5</x:v>
      </x:c>
      <x:c r="D194" s="161" t="n">
        <x:v>16.791291615488234</x:v>
      </x:c>
      <x:c r="E194" s="161" t="n">
        <x:v>23.308708384511768</x:v>
      </x:c>
      <x:c r="F194" s="162" t="n">
        <x:v>24.3225</x:v>
      </x:c>
      <x:c r="G194" s="158" t="n">
        <x:v>15.7775</x:v>
      </x:c>
      <x:c r="H194" s="158" t="n">
        <x:v>1.013791615488234</x:v>
      </x:c>
      <x:c r="I194" s="157" t="n">
        <x:v>0.04349411382064743</x:v>
      </x:c>
      <x:c r="J194" s="36" t="str">
        <x:v>Leitura real — sequência serpentina</x:v>
      </x:c>
    </x:row>
    <x:row r="195">
      <x:c r="A195" s="40" t="n">
        <x:v>183</x:v>
      </x:c>
      <x:c r="B195" s="41" t="n">
        <x:v>2.2</x:v>
      </x:c>
      <x:c r="C195" s="41" t="n">
        <x:v>0.5</x:v>
      </x:c>
      <x:c r="D195" s="161" t="n">
        <x:v>15.19962245810981</x:v>
      </x:c>
      <x:c r="E195" s="161" t="n">
        <x:v>24.900377541890194</x:v>
      </x:c>
      <x:c r="F195" s="162" t="n">
        <x:v>26.7462</x:v>
      </x:c>
      <x:c r="G195" s="158" t="n">
        <x:v>13.3538</x:v>
      </x:c>
      <x:c r="H195" s="158" t="n">
        <x:v>1.845822458109808</x:v>
      </x:c>
      <x:c r="I195" s="157" t="n">
        <x:v>0.0741282920310971</x:v>
      </x:c>
      <x:c r="J195" s="36" t="str">
        <x:v>Leitura real — sequência serpentina</x:v>
      </x:c>
    </x:row>
    <x:row r="196">
      <x:c r="A196" s="40" t="n">
        <x:v>184</x:v>
      </x:c>
      <x:c r="B196" s="41" t="n">
        <x:v>2.45</x:v>
      </x:c>
      <x:c r="C196" s="41" t="n">
        <x:v>0.5</x:v>
      </x:c>
      <x:c r="D196" s="161" t="n">
        <x:v>13.259396239959754</x:v>
      </x:c>
      <x:c r="E196" s="161" t="n">
        <x:v>26.840603760040246</x:v>
      </x:c>
      <x:c r="F196" s="162" t="n">
        <x:v>25.5388</x:v>
      </x:c>
      <x:c r="G196" s="158" t="n">
        <x:v>14.561200000000003</x:v>
      </x:c>
      <x:c r="H196" s="158" t="n">
        <x:v>-1.3018037600402472</x:v>
      </x:c>
      <x:c r="I196" s="157" t="n">
        <x:v>-0.04850128453437946</x:v>
      </x:c>
      <x:c r="J196" s="36" t="str">
        <x:v>Leitura real — sequência serpentina</x:v>
      </x:c>
    </x:row>
    <x:row r="197">
      <x:c r="A197" s="40" t="n">
        <x:v>185</x:v>
      </x:c>
      <x:c r="B197" s="41" t="n">
        <x:v>2.7</x:v>
      </x:c>
      <x:c r="C197" s="41" t="n">
        <x:v>0.5</x:v>
      </x:c>
      <x:c r="D197" s="161" t="n">
        <x:v>11.33233444164933</x:v>
      </x:c>
      <x:c r="E197" s="161" t="n">
        <x:v>28.76766555835067</x:v>
      </x:c>
      <x:c r="F197" s="162" t="n">
        <x:v>30.3146</x:v>
      </x:c>
      <x:c r="G197" s="158" t="n">
        <x:v>9.785400000000003</x:v>
      </x:c>
      <x:c r="H197" s="158" t="n">
        <x:v>1.5469344416493271</x:v>
      </x:c>
      <x:c r="I197" s="157" t="n">
        <x:v>0.05377337408597214</x:v>
      </x:c>
      <x:c r="J197" s="36" t="str">
        <x:v>Leitura real — sequência serpentina</x:v>
      </x:c>
    </x:row>
    <x:row r="198">
      <x:c r="A198" s="40" t="n">
        <x:v>186</x:v>
      </x:c>
      <x:c r="B198" s="41" t="n">
        <x:v>2.95</x:v>
      </x:c>
      <x:c r="C198" s="41" t="n">
        <x:v>0.5</x:v>
      </x:c>
      <x:c r="D198" s="161" t="n">
        <x:v>9.705695616088201</x:v>
      </x:c>
      <x:c r="E198" s="161" t="n">
        <x:v>30.394304383911802</x:v>
      </x:c>
      <x:c r="F198" s="162" t="n">
        <x:v>32.7949</x:v>
      </x:c>
      <x:c r="G198" s="158" t="n">
        <x:v>7.305100000000003</x:v>
      </x:c>
      <x:c r="H198" s="158" t="n">
        <x:v>2.4005956160881965</x:v>
      </x:c>
      <x:c r="I198" s="157" t="n">
        <x:v>0.07898175874552571</x:v>
      </x:c>
      <x:c r="J198" s="36" t="str">
        <x:v>Leitura real — sequência serpentina</x:v>
      </x:c>
    </x:row>
    <x:row r="199">
      <x:c r="A199" s="40" t="n">
        <x:v>187</x:v>
      </x:c>
      <x:c r="B199" s="41" t="n">
        <x:v>3.2</x:v>
      </x:c>
      <x:c r="C199" s="41" t="n">
        <x:v>0.5</x:v>
      </x:c>
      <x:c r="D199" s="161" t="n">
        <x:v>8.42480596243463</x:v>
      </x:c>
      <x:c r="E199" s="161" t="n">
        <x:v>31.67519403756537</x:v>
      </x:c>
      <x:c r="F199" s="162" t="n">
        <x:v>33.4306</x:v>
      </x:c>
      <x:c r="G199" s="158" t="n">
        <x:v>6.669400000000003</x:v>
      </x:c>
      <x:c r="H199" s="158" t="n">
        <x:v>1.7554059624346294</x:v>
      </x:c>
      <x:c r="I199" s="157" t="n">
        <x:v>0.055418948984268135</x:v>
      </x:c>
      <x:c r="J199" s="36" t="str">
        <x:v>Leitura real — sequência serpentina</x:v>
      </x:c>
    </x:row>
    <x:row r="200">
      <x:c r="A200" s="40" t="n">
        <x:v>188</x:v>
      </x:c>
      <x:c r="B200" s="41" t="n">
        <x:v>-0.8</x:v>
      </x:c>
      <x:c r="C200" s="41" t="n">
        <x:v>0.75</x:v>
      </x:c>
      <x:c r="D200" s="161" t="n">
        <x:v>7.966853722293177</x:v>
      </x:c>
      <x:c r="E200" s="161" t="n">
        <x:v>32.13314627770683</x:v>
      </x:c>
      <x:c r="F200" s="162" t="n">
        <x:v>33.0205</x:v>
      </x:c>
      <x:c r="G200" s="158" t="n">
        <x:v>7.079500000000003</x:v>
      </x:c>
      <x:c r="H200" s="158" t="n">
        <x:v>0.8873537222931702</x:v>
      </x:c>
      <x:c r="I200" s="157" t="n">
        <x:v>0.027614903147806413</x:v>
      </x:c>
      <x:c r="J200" s="36" t="str">
        <x:v>Leitura real — sequência serpentina</x:v>
      </x:c>
    </x:row>
    <x:row r="201">
      <x:c r="A201" s="40" t="n">
        <x:v>189</x:v>
      </x:c>
      <x:c r="B201" s="41" t="n">
        <x:v>-0.55</x:v>
      </x:c>
      <x:c r="C201" s="41" t="n">
        <x:v>0.75</x:v>
      </x:c>
      <x:c r="D201" s="161" t="n">
        <x:v>8.989582354062325</x:v>
      </x:c>
      <x:c r="E201" s="161" t="n">
        <x:v>31.110417645937677</x:v>
      </x:c>
      <x:c r="F201" s="162" t="n">
        <x:v>31.6899</x:v>
      </x:c>
      <x:c r="G201" s="158" t="n">
        <x:v>8.4101</x:v>
      </x:c>
      <x:c r="H201" s="158" t="n">
        <x:v>0.5794823540623248</x:v>
      </x:c>
      <x:c r="I201" s="157" t="n">
        <x:v>0.018626633710203254</x:v>
      </x:c>
      <x:c r="J201" s="36" t="str">
        <x:v>Leitura real — sequência serpentina</x:v>
      </x:c>
    </x:row>
    <x:row r="202">
      <x:c r="A202" s="40" t="n">
        <x:v>190</x:v>
      </x:c>
      <x:c r="B202" s="41" t="n">
        <x:v>-0.30000000000000004</x:v>
      </x:c>
      <x:c r="C202" s="41" t="n">
        <x:v>0.75</x:v>
      </x:c>
      <x:c r="D202" s="161" t="n">
        <x:v>10.191801754384722</x:v>
      </x:c>
      <x:c r="E202" s="161" t="n">
        <x:v>29.90819824561528</x:v>
      </x:c>
      <x:c r="F202" s="162" t="n">
        <x:v>31.2153</x:v>
      </x:c>
      <x:c r="G202" s="158" t="n">
        <x:v>8.884700000000002</x:v>
      </x:c>
      <x:c r="H202" s="158" t="n">
        <x:v>1.3071017543847177</x:v>
      </x:c>
      <x:c r="I202" s="157" t="n">
        <x:v>0.04370379464688571</x:v>
      </x:c>
      <x:c r="J202" s="36" t="str">
        <x:v>Leitura real — sequência serpentina</x:v>
      </x:c>
    </x:row>
    <x:row r="203">
      <x:c r="A203" s="40" t="n">
        <x:v>191</x:v>
      </x:c>
      <x:c r="B203" s="41" t="n">
        <x:v>-0.050000000000000044</x:v>
      </x:c>
      <x:c r="C203" s="41" t="n">
        <x:v>0.75</x:v>
      </x:c>
      <x:c r="D203" s="161" t="n">
        <x:v>11.513422735924449</x:v>
      </x:c>
      <x:c r="E203" s="161" t="n">
        <x:v>28.58657726407555</x:v>
      </x:c>
      <x:c r="F203" s="162" t="n">
        <x:v>29.335</x:v>
      </x:c>
      <x:c r="G203" s="158" t="n">
        <x:v>10.765</x:v>
      </x:c>
      <x:c r="H203" s="158" t="n">
        <x:v>0.74842273592445</x:v>
      </x:c>
      <x:c r="I203" s="157" t="n">
        <x:v>0.026180914525398075</x:v>
      </x:c>
      <x:c r="J203" s="36" t="str">
        <x:v>Leitura real — sequência serpentina</x:v>
      </x:c>
    </x:row>
    <x:row r="204">
      <x:c r="A204" s="40" t="n">
        <x:v>192</x:v>
      </x:c>
      <x:c r="B204" s="41" t="n">
        <x:v>0.19999999999999996</x:v>
      </x:c>
      <x:c r="C204" s="41" t="n">
        <x:v>0.75</x:v>
      </x:c>
      <x:c r="D204" s="161" t="n">
        <x:v>12.809374999756884</x:v>
      </x:c>
      <x:c r="E204" s="161" t="n">
        <x:v>27.290625000243118</x:v>
      </x:c>
      <x:c r="F204" s="162" t="n">
        <x:v>27.9336</x:v>
      </x:c>
      <x:c r="G204" s="158" t="n">
        <x:v>12.166400000000003</x:v>
      </x:c>
      <x:c r="H204" s="158" t="n">
        <x:v>0.6429749997568805</x:v>
      </x:c>
      <x:c r="I204" s="157" t="n">
        <x:v>0.023560288551513667</x:v>
      </x:c>
      <x:c r="J204" s="36" t="str">
        <x:v>Leitura real — sequência serpentina</x:v>
      </x:c>
    </x:row>
    <x:row r="205">
      <x:c r="A205" s="40" t="n">
        <x:v>193</x:v>
      </x:c>
      <x:c r="B205" s="41" t="n">
        <x:v>0.44999999999999996</x:v>
      </x:c>
      <x:c r="C205" s="41" t="n">
        <x:v>0.75</x:v>
      </x:c>
      <x:c r="D205" s="161" t="n">
        <x:v>13.911842327218917</x:v>
      </x:c>
      <x:c r="E205" s="161" t="n">
        <x:v>26.188157672781085</x:v>
      </x:c>
      <x:c r="F205" s="162" t="n">
        <x:v>26.6729</x:v>
      </x:c>
      <x:c r="G205" s="158" t="n">
        <x:v>13.427100000000003</x:v>
      </x:c>
      <x:c r="H205" s="158" t="n">
        <x:v>0.48474232721891397</x:v>
      </x:c>
      <x:c r="I205" s="157" t="n">
        <x:v>0.01850998200315311</x:v>
      </x:c>
      <x:c r="J205" s="36" t="str">
        <x:v>Leitura real — sequência serpentina</x:v>
      </x:c>
    </x:row>
    <x:row r="206">
      <x:c r="A206" s="40" t="n">
        <x:v>194</x:v>
      </x:c>
      <x:c r="B206" s="41" t="n">
        <x:v>0.7</x:v>
      </x:c>
      <x:c r="C206" s="41" t="n">
        <x:v>0.75</x:v>
      </x:c>
      <x:c r="D206" s="161" t="n">
        <x:v>14.718554824740654</x:v>
      </x:c>
      <x:c r="E206" s="161" t="n">
        <x:v>25.381445175259348</x:v>
      </x:c>
      <x:c r="F206" s="162" t="n">
        <x:v>26.3442</x:v>
      </x:c>
      <x:c r="G206" s="158" t="n">
        <x:v>13.7558</x:v>
      </x:c>
      <x:c r="H206" s="158" t="n">
        <x:v>0.962754824740653</x:v>
      </x:c>
      <x:c r="I206" s="157" t="n">
        <x:v>0.03793144236243497</x:v>
      </x:c>
      <x:c r="J206" s="36" t="str">
        <x:v>Leitura real — sequência serpentina</x:v>
      </x:c>
    </x:row>
    <x:row r="207">
      <x:c r="A207" s="40" t="n">
        <x:v>195</x:v>
      </x:c>
      <x:c r="B207" s="41" t="n">
        <x:v>0.95</x:v>
      </x:c>
      <x:c r="C207" s="41" t="n">
        <x:v>0.75</x:v>
      </x:c>
      <x:c r="D207" s="161" t="n">
        <x:v>15.20037077823775</x:v>
      </x:c>
      <x:c r="E207" s="161" t="n">
        <x:v>24.899629221762254</x:v>
      </x:c>
      <x:c r="F207" s="162" t="n">
        <x:v>22.6988</x:v>
      </x:c>
      <x:c r="G207" s="158" t="n">
        <x:v>17.401200000000003</x:v>
      </x:c>
      <x:c r="H207" s="158" t="n">
        <x:v>-2.2008292217622554</x:v>
      </x:c>
      <x:c r="I207" s="157" t="n">
        <x:v>-0.08838803189240796</x:v>
      </x:c>
      <x:c r="J207" s="36" t="str">
        <x:v>Leitura real — sequência serpentina</x:v>
      </x:c>
    </x:row>
    <x:row r="208">
      <x:c r="A208" s="40" t="n">
        <x:v>196</x:v>
      </x:c>
      <x:c r="B208" s="41" t="n">
        <x:v>1.2</x:v>
      </x:c>
      <x:c r="C208" s="41" t="n">
        <x:v>0.75</x:v>
      </x:c>
      <x:c r="D208" s="161" t="n">
        <x:v>15.359714012755802</x:v>
      </x:c>
      <x:c r="E208" s="161" t="n">
        <x:v>24.7402859872442</x:v>
      </x:c>
      <x:c r="F208" s="162" t="n">
        <x:v>22.4924</x:v>
      </x:c>
      <x:c r="G208" s="158" t="n">
        <x:v>17.6076</x:v>
      </x:c>
      <x:c r="H208" s="158" t="n">
        <x:v>-2.2478859872441994</x:v>
      </x:c>
      <x:c r="I208" s="157" t="n">
        <x:v>-0.09085933721231772</x:v>
      </x:c>
      <x:c r="J208" s="36" t="str">
        <x:v>Leitura real — sequência serpentina</x:v>
      </x:c>
    </x:row>
    <x:row r="209">
      <x:c r="A209" s="40" t="n">
        <x:v>197</x:v>
      </x:c>
      <x:c r="B209" s="41" t="n">
        <x:v>1.45</x:v>
      </x:c>
      <x:c r="C209" s="41" t="n">
        <x:v>0.75</x:v>
      </x:c>
      <x:c r="D209" s="161" t="n">
        <x:v>15.20037077823775</x:v>
      </x:c>
      <x:c r="E209" s="161" t="n">
        <x:v>24.899629221762254</x:v>
      </x:c>
      <x:c r="F209" s="162" t="n">
        <x:v>25.4994</x:v>
      </x:c>
      <x:c r="G209" s="158" t="n">
        <x:v>14.6006</x:v>
      </x:c>
      <x:c r="H209" s="158" t="n">
        <x:v>0.5997707782377475</x:v>
      </x:c>
      <x:c r="I209" s="157" t="n">
        <x:v>0.024087538529029517</x:v>
      </x:c>
      <x:c r="J209" s="36" t="str">
        <x:v>Leitura real — sequência serpentina</x:v>
      </x:c>
    </x:row>
    <x:row r="210">
      <x:c r="A210" s="40" t="n">
        <x:v>198</x:v>
      </x:c>
      <x:c r="B210" s="41" t="n">
        <x:v>1.7</x:v>
      </x:c>
      <x:c r="C210" s="41" t="n">
        <x:v>0.75</x:v>
      </x:c>
      <x:c r="D210" s="161" t="n">
        <x:v>14.718554824740654</x:v>
      </x:c>
      <x:c r="E210" s="161" t="n">
        <x:v>25.381445175259348</x:v>
      </x:c>
      <x:c r="F210" s="162" t="n">
        <x:v>26.0793</x:v>
      </x:c>
      <x:c r="G210" s="158" t="n">
        <x:v>14.020700000000001</x:v>
      </x:c>
      <x:c r="H210" s="158" t="n">
        <x:v>0.6978548247406522</x:v>
      </x:c>
      <x:c r="I210" s="157" t="n">
        <x:v>0.027494684401221117</x:v>
      </x:c>
      <x:c r="J210" s="36" t="str">
        <x:v>Leitura real — sequência serpentina</x:v>
      </x:c>
    </x:row>
    <x:row r="211">
      <x:c r="A211" s="40" t="n">
        <x:v>199</x:v>
      </x:c>
      <x:c r="B211" s="41" t="n">
        <x:v>1.95</x:v>
      </x:c>
      <x:c r="C211" s="41" t="n">
        <x:v>0.75</x:v>
      </x:c>
      <x:c r="D211" s="161" t="n">
        <x:v>13.911842327218917</x:v>
      </x:c>
      <x:c r="E211" s="161" t="n">
        <x:v>26.188157672781085</x:v>
      </x:c>
      <x:c r="F211" s="162" t="n">
        <x:v>27.8072</x:v>
      </x:c>
      <x:c r="G211" s="158" t="n">
        <x:v>12.2928</x:v>
      </x:c>
      <x:c r="H211" s="158" t="n">
        <x:v>1.6190423272189172</x:v>
      </x:c>
      <x:c r="I211" s="157" t="n">
        <x:v>0.06182345270135915</x:v>
      </x:c>
      <x:c r="J211" s="36" t="str">
        <x:v>Leitura real — sequência serpentina</x:v>
      </x:c>
    </x:row>
    <x:row r="212">
      <x:c r="A212" s="40" t="n">
        <x:v>200</x:v>
      </x:c>
      <x:c r="B212" s="41" t="n">
        <x:v>2.2</x:v>
      </x:c>
      <x:c r="C212" s="41" t="n">
        <x:v>0.75</x:v>
      </x:c>
      <x:c r="D212" s="161" t="n">
        <x:v>12.809374999756884</x:v>
      </x:c>
      <x:c r="E212" s="161" t="n">
        <x:v>27.290625000243118</x:v>
      </x:c>
      <x:c r="F212" s="162" t="n">
        <x:v>26.8066</x:v>
      </x:c>
      <x:c r="G212" s="158" t="n">
        <x:v>13.293400000000002</x:v>
      </x:c>
      <x:c r="H212" s="158" t="n">
        <x:v>-0.48402500024311834</x:v>
      </x:c>
      <x:c r="I212" s="157" t="n">
        <x:v>-0.017735944128755073</x:v>
      </x:c>
      <x:c r="J212" s="36" t="str">
        <x:v>Leitura real — sequência serpentina</x:v>
      </x:c>
    </x:row>
    <x:row r="213">
      <x:c r="A213" s="40" t="n">
        <x:v>201</x:v>
      </x:c>
      <x:c r="B213" s="41" t="n">
        <x:v>2.45</x:v>
      </x:c>
      <x:c r="C213" s="41" t="n">
        <x:v>0.75</x:v>
      </x:c>
      <x:c r="D213" s="161" t="n">
        <x:v>11.513422735924447</x:v>
      </x:c>
      <x:c r="E213" s="161" t="n">
        <x:v>28.586577264075554</x:v>
      </x:c>
      <x:c r="F213" s="162" t="n">
        <x:v>29.006</x:v>
      </x:c>
      <x:c r="G213" s="158" t="n">
        <x:v>11.094000000000001</x:v>
      </x:c>
      <x:c r="H213" s="158" t="n">
        <x:v>0.4194227359244458</x:v>
      </x:c>
      <x:c r="I213" s="157" t="n">
        <x:v>0.014672016591910423</x:v>
      </x:c>
      <x:c r="J213" s="36" t="str">
        <x:v>Leitura real — sequência serpentina</x:v>
      </x:c>
    </x:row>
    <x:row r="214">
      <x:c r="A214" s="40" t="n">
        <x:v>202</x:v>
      </x:c>
      <x:c r="B214" s="41" t="n">
        <x:v>2.7</x:v>
      </x:c>
      <x:c r="C214" s="41" t="n">
        <x:v>0.75</x:v>
      </x:c>
      <x:c r="D214" s="161" t="n">
        <x:v>10.19180175438472</x:v>
      </x:c>
      <x:c r="E214" s="161" t="n">
        <x:v>29.90819824561528</x:v>
      </x:c>
      <x:c r="F214" s="162" t="n">
        <x:v>31.2302</x:v>
      </x:c>
      <x:c r="G214" s="158" t="n">
        <x:v>8.869800000000001</x:v>
      </x:c>
      <x:c r="H214" s="158" t="n">
        <x:v>1.3220017543847185</x:v>
      </x:c>
      <x:c r="I214" s="157" t="n">
        <x:v>0.04420198580763827</x:v>
      </x:c>
      <x:c r="J214" s="36" t="str">
        <x:v>Leitura real — sequência serpentina</x:v>
      </x:c>
    </x:row>
    <x:row r="215">
      <x:c r="A215" s="40" t="n">
        <x:v>203</x:v>
      </x:c>
      <x:c r="B215" s="41" t="n">
        <x:v>2.95</x:v>
      </x:c>
      <x:c r="C215" s="41" t="n">
        <x:v>0.75</x:v>
      </x:c>
      <x:c r="D215" s="161" t="n">
        <x:v>8.989582354062325</x:v>
      </x:c>
      <x:c r="E215" s="161" t="n">
        <x:v>31.110417645937677</x:v>
      </x:c>
      <x:c r="F215" s="162" t="n">
        <x:v>25.2004</x:v>
      </x:c>
      <x:c r="G215" s="158" t="n">
        <x:v>14.899600000000003</x:v>
      </x:c>
      <x:c r="H215" s="158" t="n">
        <x:v>-5.910017645937678</x:v>
      </x:c>
      <x:c r="I215" s="157" t="n">
        <x:v>-0.18996908730697784</x:v>
      </x:c>
      <x:c r="J215" s="36" t="str">
        <x:v>Leitura real — sequência serpentina</x:v>
      </x:c>
    </x:row>
    <x:row r="216">
      <x:c r="A216" s="40" t="n">
        <x:v>204</x:v>
      </x:c>
      <x:c r="B216" s="41" t="n">
        <x:v>3.2</x:v>
      </x:c>
      <x:c r="C216" s="41" t="n">
        <x:v>0.75</x:v>
      </x:c>
      <x:c r="D216" s="161" t="n">
        <x:v>7.966853722293177</x:v>
      </x:c>
      <x:c r="E216" s="161" t="n">
        <x:v>32.13314627770683</x:v>
      </x:c>
      <x:c r="F216" s="162" t="n">
        <x:v>31.8236</x:v>
      </x:c>
      <x:c r="G216" s="158" t="n">
        <x:v>8.276400000000002</x:v>
      </x:c>
      <x:c r="H216" s="158" t="n">
        <x:v>-0.3095462777068292</x:v>
      </x:c>
      <x:c r="I216" s="157" t="n">
        <x:v>-0.009633238993518187</x:v>
      </x:c>
      <x:c r="J216" s="36" t="str">
        <x:v>Leitura real — sequência serpentina</x:v>
      </x:c>
    </x:row>
    <x:row r="217">
      <x:c r="A217" s="40" t="n">
        <x:v>205</x:v>
      </x:c>
      <x:c r="B217" s="41" t="n">
        <x:v>-0.8</x:v>
      </x:c>
      <x:c r="C217" s="41" t="n">
        <x:v>1</x:v>
      </x:c>
      <x:c r="D217" s="161" t="n">
        <x:v>7.463264755385942</x:v>
      </x:c>
      <x:c r="E217" s="161" t="n">
        <x:v>32.63673524461406</x:v>
      </x:c>
      <x:c r="F217" s="162" t="n">
        <x:v>33.7779</x:v>
      </x:c>
      <x:c r="G217" s="158" t="n">
        <x:v>6.322099999999999</x:v>
      </x:c>
      <x:c r="H217" s="158" t="n">
        <x:v>1.1411647553859439</x:v>
      </x:c>
      <x:c r="I217" s="157" t="n">
        <x:v>0.03496565287038834</x:v>
      </x:c>
      <x:c r="J217" s="36" t="str">
        <x:v>Leitura real — sequência serpentina</x:v>
      </x:c>
    </x:row>
    <x:row r="218">
      <x:c r="A218" s="40" t="n">
        <x:v>206</x:v>
      </x:c>
      <x:c r="B218" s="41" t="n">
        <x:v>-0.55</x:v>
      </x:c>
      <x:c r="C218" s="41" t="n">
        <x:v>1</x:v>
      </x:c>
      <x:c r="D218" s="161" t="n">
        <x:v>8.26708199305721</x:v>
      </x:c>
      <x:c r="E218" s="161" t="n">
        <x:v>31.83291800694279</x:v>
      </x:c>
      <x:c r="F218" s="162" t="n">
        <x:v>34.4343</x:v>
      </x:c>
      <x:c r="G218" s="158" t="n">
        <x:v>5.665700000000001</x:v>
      </x:c>
      <x:c r="H218" s="158" t="n">
        <x:v>2.6013819930572097</x:v>
      </x:c>
      <x:c r="I218" s="157" t="n">
        <x:v>0.08171987225581537</x:v>
      </x:c>
      <x:c r="J218" s="36" t="str">
        <x:v>Leitura real — sequência serpentina</x:v>
      </x:c>
    </x:row>
    <x:row r="219">
      <x:c r="A219" s="40" t="n">
        <x:v>207</x:v>
      </x:c>
      <x:c r="B219" s="41" t="n">
        <x:v>-0.30000000000000004</x:v>
      </x:c>
      <x:c r="C219" s="41" t="n">
        <x:v>1</x:v>
      </x:c>
      <x:c r="D219" s="161" t="n">
        <x:v>9.160435924079437</x:v>
      </x:c>
      <x:c r="E219" s="161" t="n">
        <x:v>30.939564075920565</x:v>
      </x:c>
      <x:c r="F219" s="162" t="n">
        <x:v>30.4193</x:v>
      </x:c>
      <x:c r="G219" s="158" t="n">
        <x:v>9.680700000000002</x:v>
      </x:c>
      <x:c r="H219" s="158" t="n">
        <x:v>-0.520264075920565</x:v>
      </x:c>
      <x:c r="I219" s="157" t="n">
        <x:v>-0.016815494705869908</x:v>
      </x:c>
      <x:c r="J219" s="36" t="str">
        <x:v>Leitura real — sequência serpentina</x:v>
      </x:c>
    </x:row>
    <x:row r="220">
      <x:c r="A220" s="40" t="n">
        <x:v>208</x:v>
      </x:c>
      <x:c r="B220" s="41" t="n">
        <x:v>-0.050000000000000044</x:v>
      </x:c>
      <x:c r="C220" s="41" t="n">
        <x:v>1</x:v>
      </x:c>
      <x:c r="D220" s="161" t="n">
        <x:v>10.096456109302352</x:v>
      </x:c>
      <x:c r="E220" s="161" t="n">
        <x:v>30.00354389069765</x:v>
      </x:c>
      <x:c r="F220" s="162" t="n">
        <x:v>32.1913</x:v>
      </x:c>
      <x:c r="G220" s="158" t="n">
        <x:v>7.908700000000003</x:v>
      </x:c>
      <x:c r="H220" s="158" t="n">
        <x:v>2.1877561093023488</x:v>
      </x:c>
      <x:c r="I220" s="157" t="n">
        <x:v>0.07291659002924132</x:v>
      </x:c>
      <x:c r="J220" s="36" t="str">
        <x:v>Leitura real — sequência serpentina</x:v>
      </x:c>
    </x:row>
    <x:row r="221">
      <x:c r="A221" s="40" t="n">
        <x:v>209</x:v>
      </x:c>
      <x:c r="B221" s="41" t="n">
        <x:v>0.19999999999999996</x:v>
      </x:c>
      <x:c r="C221" s="41" t="n">
        <x:v>1</x:v>
      </x:c>
      <x:c r="D221" s="161" t="n">
        <x:v>10.995476086700565</x:v>
      </x:c>
      <x:c r="E221" s="161" t="n">
        <x:v>29.104523913299438</x:v>
      </x:c>
      <x:c r="F221" s="162" t="n">
        <x:v>30.94</x:v>
      </x:c>
      <x:c r="G221" s="158" t="n">
        <x:v>9.16</x:v>
      </x:c>
      <x:c r="H221" s="158" t="n">
        <x:v>1.835476086700563</x:v>
      </x:c>
      <x:c r="I221" s="157" t="n">
        <x:v>0.06306497547145358</x:v>
      </x:c>
      <x:c r="J221" s="36" t="str">
        <x:v>Leitura real — sequência serpentina</x:v>
      </x:c>
    </x:row>
    <x:row r="222">
      <x:c r="A222" s="40" t="n">
        <x:v>210</x:v>
      </x:c>
      <x:c r="B222" s="41" t="n">
        <x:v>0.44999999999999996</x:v>
      </x:c>
      <x:c r="C222" s="41" t="n">
        <x:v>1</x:v>
      </x:c>
      <x:c r="D222" s="161" t="n">
        <x:v>11.769344798269115</x:v>
      </x:c>
      <x:c r="E222" s="161" t="n">
        <x:v>28.330655201730885</x:v>
      </x:c>
      <x:c r="F222" s="162" t="n">
        <x:v>29.0965</x:v>
      </x:c>
      <x:c r="G222" s="158" t="n">
        <x:v>11.003500000000003</x:v>
      </x:c>
      <x:c r="H222" s="158" t="n">
        <x:v>0.7658447982691143</x:v>
      </x:c>
      <x:c r="I222" s="157" t="n">
        <x:v>0.027032371571213236</x:v>
      </x:c>
      <x:c r="J222" s="36" t="str">
        <x:v>Leitura real — sequência serpentina</x:v>
      </x:c>
    </x:row>
    <x:row r="223">
      <x:c r="A223" s="40" t="n">
        <x:v>211</x:v>
      </x:c>
      <x:c r="B223" s="41" t="n">
        <x:v>0.7</x:v>
      </x:c>
      <x:c r="C223" s="41" t="n">
        <x:v>1</x:v>
      </x:c>
      <x:c r="D223" s="161" t="n">
        <x:v>12.352160485037682</x:v>
      </x:c>
      <x:c r="E223" s="161" t="n">
        <x:v>27.74783951496232</x:v>
      </x:c>
      <x:c r="F223" s="162" t="n">
        <x:v>27.4024</x:v>
      </x:c>
      <x:c r="G223" s="158" t="n">
        <x:v>12.697600000000001</x:v>
      </x:c>
      <x:c r="H223" s="158" t="n">
        <x:v>-0.34543951496231884</x:v>
      </x:c>
      <x:c r="I223" s="157" t="n">
        <x:v>-0.012449240048979284</x:v>
      </x:c>
      <x:c r="J223" s="36" t="str">
        <x:v>Leitura real — sequência serpentina</x:v>
      </x:c>
    </x:row>
    <x:row r="224">
      <x:c r="A224" s="40" t="n">
        <x:v>212</x:v>
      </x:c>
      <x:c r="B224" s="41" t="n">
        <x:v>0.95</x:v>
      </x:c>
      <x:c r="C224" s="41" t="n">
        <x:v>1</x:v>
      </x:c>
      <x:c r="D224" s="161" t="n">
        <x:v>12.70978252411815</x:v>
      </x:c>
      <x:c r="E224" s="161" t="n">
        <x:v>27.39021747588185</x:v>
      </x:c>
      <x:c r="F224" s="162" t="n">
        <x:v>28.6435</x:v>
      </x:c>
      <x:c r="G224" s="158" t="n">
        <x:v>11.456500000000002</x:v>
      </x:c>
      <x:c r="H224" s="158" t="n">
        <x:v>1.2532825241181484</x:v>
      </x:c>
      <x:c r="I224" s="157" t="n">
        <x:v>0.045756574412806776</x:v>
      </x:c>
      <x:c r="J224" s="36" t="str">
        <x:v>Leitura real — sequência serpentina</x:v>
      </x:c>
    </x:row>
    <x:row r="225">
      <x:c r="A225" s="40" t="n">
        <x:v>213</x:v>
      </x:c>
      <x:c r="B225" s="41" t="n">
        <x:v>1.2</x:v>
      </x:c>
      <x:c r="C225" s="41" t="n">
        <x:v>1</x:v>
      </x:c>
      <x:c r="D225" s="161" t="n">
        <x:v>12.829852311179012</x:v>
      </x:c>
      <x:c r="E225" s="161" t="n">
        <x:v>27.27014768882099</x:v>
      </x:c>
      <x:c r="F225" s="162" t="n">
        <x:v>29.4502</x:v>
      </x:c>
      <x:c r="G225" s="158" t="n">
        <x:v>10.649800000000003</x:v>
      </x:c>
      <x:c r="H225" s="158" t="n">
        <x:v>2.1800523111790078</x:v>
      </x:c>
      <x:c r="I225" s="157" t="n">
        <x:v>0.07994281278031688</x:v>
      </x:c>
      <x:c r="J225" s="36" t="str">
        <x:v>Leitura real — sequência serpentina</x:v>
      </x:c>
    </x:row>
    <x:row r="226">
      <x:c r="A226" s="40" t="n">
        <x:v>214</x:v>
      </x:c>
      <x:c r="B226" s="41" t="n">
        <x:v>1.45</x:v>
      </x:c>
      <x:c r="C226" s="41" t="n">
        <x:v>1</x:v>
      </x:c>
      <x:c r="D226" s="161" t="n">
        <x:v>12.70978252411815</x:v>
      </x:c>
      <x:c r="E226" s="161" t="n">
        <x:v>27.39021747588185</x:v>
      </x:c>
      <x:c r="F226" s="162" t="n">
        <x:v>25.9418</x:v>
      </x:c>
      <x:c r="G226" s="158" t="n">
        <x:v>14.1582</x:v>
      </x:c>
      <x:c r="H226" s="158" t="n">
        <x:v>-1.4484174758818504</x:v>
      </x:c>
      <x:c r="I226" s="157" t="n">
        <x:v>-0.05288083152889305</x:v>
      </x:c>
      <x:c r="J226" s="36" t="str">
        <x:v>Leitura real — sequência serpentina</x:v>
      </x:c>
    </x:row>
    <x:row r="227">
      <x:c r="A227" s="40" t="n">
        <x:v>215</x:v>
      </x:c>
      <x:c r="B227" s="41" t="n">
        <x:v>1.7</x:v>
      </x:c>
      <x:c r="C227" s="41" t="n">
        <x:v>1</x:v>
      </x:c>
      <x:c r="D227" s="161" t="n">
        <x:v>12.352160485037682</x:v>
      </x:c>
      <x:c r="E227" s="161" t="n">
        <x:v>27.74783951496232</x:v>
      </x:c>
      <x:c r="F227" s="162" t="n">
        <x:v>28.4488</x:v>
      </x:c>
      <x:c r="G227" s="158" t="n">
        <x:v>11.651200000000003</x:v>
      </x:c>
      <x:c r="H227" s="158" t="n">
        <x:v>0.7009604850376796</x:v>
      </x:c>
      <x:c r="I227" s="157" t="n">
        <x:v>0.025261804064410292</x:v>
      </x:c>
      <x:c r="J227" s="36" t="str">
        <x:v>Leitura real — sequência serpentina</x:v>
      </x:c>
    </x:row>
    <x:row r="228">
      <x:c r="A228" s="40" t="n">
        <x:v>216</x:v>
      </x:c>
      <x:c r="B228" s="41" t="n">
        <x:v>1.95</x:v>
      </x:c>
      <x:c r="C228" s="41" t="n">
        <x:v>1</x:v>
      </x:c>
      <x:c r="D228" s="161" t="n">
        <x:v>11.769344798269115</x:v>
      </x:c>
      <x:c r="E228" s="161" t="n">
        <x:v>28.330655201730885</x:v>
      </x:c>
      <x:c r="F228" s="162" t="n">
        <x:v>29.0538</x:v>
      </x:c>
      <x:c r="G228" s="158" t="n">
        <x:v>11.046200000000002</x:v>
      </x:c>
      <x:c r="H228" s="158" t="n">
        <x:v>0.7231447982691144</x:v>
      </x:c>
      <x:c r="I228" s="157" t="n">
        <x:v>0.025525170283563835</x:v>
      </x:c>
      <x:c r="J228" s="36" t="str">
        <x:v>Leitura real — sequência serpentina</x:v>
      </x:c>
    </x:row>
    <x:row r="229">
      <x:c r="A229" s="40" t="n">
        <x:v>217</x:v>
      </x:c>
      <x:c r="B229" s="41" t="n">
        <x:v>2.2</x:v>
      </x:c>
      <x:c r="C229" s="41" t="n">
        <x:v>1</x:v>
      </x:c>
      <x:c r="D229" s="161" t="n">
        <x:v>10.995476086700563</x:v>
      </x:c>
      <x:c r="E229" s="161" t="n">
        <x:v>29.104523913299438</x:v>
      </x:c>
      <x:c r="F229" s="162" t="n">
        <x:v>28.3987</x:v>
      </x:c>
      <x:c r="G229" s="158" t="n">
        <x:v>11.7013</x:v>
      </x:c>
      <x:c r="H229" s="158" t="n">
        <x:v>-0.7058239132994366</x:v>
      </x:c>
      <x:c r="I229" s="157" t="n">
        <x:v>-0.024251347158333256</x:v>
      </x:c>
      <x:c r="J229" s="36" t="str">
        <x:v>Leitura real — sequência serpentina</x:v>
      </x:c>
    </x:row>
    <x:row r="230">
      <x:c r="A230" s="40" t="n">
        <x:v>218</x:v>
      </x:c>
      <x:c r="B230" s="41" t="n">
        <x:v>2.45</x:v>
      </x:c>
      <x:c r="C230" s="41" t="n">
        <x:v>1</x:v>
      </x:c>
      <x:c r="D230" s="161" t="n">
        <x:v>10.09645610930235</x:v>
      </x:c>
      <x:c r="E230" s="161" t="n">
        <x:v>30.00354389069765</x:v>
      </x:c>
      <x:c r="F230" s="162" t="n">
        <x:v>29.3614</x:v>
      </x:c>
      <x:c r="G230" s="158" t="n">
        <x:v>10.738600000000002</x:v>
      </x:c>
      <x:c r="H230" s="158" t="n">
        <x:v>-0.6421438906976498</x:v>
      </x:c>
      <x:c r="I230" s="157" t="n">
        <x:v>-0.02140226811329248</x:v>
      </x:c>
      <x:c r="J230" s="36" t="str">
        <x:v>Leitura real — sequência serpentina</x:v>
      </x:c>
    </x:row>
    <x:row r="231">
      <x:c r="A231" s="40" t="n">
        <x:v>219</x:v>
      </x:c>
      <x:c r="B231" s="41" t="n">
        <x:v>2.7</x:v>
      </x:c>
      <x:c r="C231" s="41" t="n">
        <x:v>1</x:v>
      </x:c>
      <x:c r="D231" s="161" t="n">
        <x:v>9.160435924079437</x:v>
      </x:c>
      <x:c r="E231" s="161" t="n">
        <x:v>30.939564075920565</x:v>
      </x:c>
      <x:c r="F231" s="162" t="n">
        <x:v>28.2971</x:v>
      </x:c>
      <x:c r="G231" s="158" t="n">
        <x:v>11.802900000000001</x:v>
      </x:c>
      <x:c r="H231" s="158" t="n">
        <x:v>-2.6424640759205644</x:v>
      </x:c>
      <x:c r="I231" s="157" t="n">
        <x:v>-0.08540728206242322</x:v>
      </x:c>
      <x:c r="J231" s="36" t="str">
        <x:v>Leitura real — sequência serpentina</x:v>
      </x:c>
    </x:row>
    <x:row r="232">
      <x:c r="A232" s="40" t="n">
        <x:v>220</x:v>
      </x:c>
      <x:c r="B232" s="41" t="n">
        <x:v>2.95</x:v>
      </x:c>
      <x:c r="C232" s="41" t="n">
        <x:v>1</x:v>
      </x:c>
      <x:c r="D232" s="161" t="n">
        <x:v>8.267081993057209</x:v>
      </x:c>
      <x:c r="E232" s="161" t="n">
        <x:v>31.83291800694279</x:v>
      </x:c>
      <x:c r="F232" s="162" t="n">
        <x:v>30.0881</x:v>
      </x:c>
      <x:c r="G232" s="158" t="n">
        <x:v>10.0119</x:v>
      </x:c>
      <x:c r="H232" s="158" t="n">
        <x:v>-1.7448180069427899</x:v>
      </x:c>
      <x:c r="I232" s="157" t="n">
        <x:v>-0.054811751990887024</x:v>
      </x:c>
      <x:c r="J232" s="36" t="str">
        <x:v>Leitura real — sequência serpentina</x:v>
      </x:c>
    </x:row>
    <x:row r="233">
      <x:c r="A233" s="40" t="n">
        <x:v>221</x:v>
      </x:c>
      <x:c r="B233" s="41" t="n">
        <x:v>3.2</x:v>
      </x:c>
      <x:c r="C233" s="41" t="n">
        <x:v>1</x:v>
      </x:c>
      <x:c r="D233" s="161" t="n">
        <x:v>7.463264755385941</x:v>
      </x:c>
      <x:c r="E233" s="161" t="n">
        <x:v>32.63673524461406</x:v>
      </x:c>
      <x:c r="F233" s="162" t="n">
        <x:v>29.8693</x:v>
      </x:c>
      <x:c r="G233" s="158" t="n">
        <x:v>10.230700000000002</x:v>
      </x:c>
      <x:c r="H233" s="158" t="n">
        <x:v>-2.7674352446140595</x:v>
      </x:c>
      <x:c r="I233" s="157" t="n">
        <x:v>-0.08479510048636868</x:v>
      </x:c>
      <x:c r="J233" s="36" t="str">
        <x:v>Leitura real — sequência serpentina</x:v>
      </x:c>
    </x:row>
    <x:row r="234">
      <x:c r="A234" s="40" t="n">
        <x:v>222</x:v>
      </x:c>
      <x:c r="B234" s="41" t="n">
        <x:v>-0.8</x:v>
      </x:c>
      <x:c r="C234" s="41" t="n">
        <x:v>1.25</x:v>
      </x:c>
      <x:c r="D234" s="161" t="n">
        <x:v>6.96145224369861</x:v>
      </x:c>
      <x:c r="E234" s="161" t="n">
        <x:v>33.13854775630139</x:v>
      </x:c>
      <x:c r="F234" s="162" t="n">
        <x:v>35.2303</x:v>
      </x:c>
      <x:c r="G234" s="158" t="n">
        <x:v>4.869700000000002</x:v>
      </x:c>
      <x:c r="H234" s="158" t="n">
        <x:v>2.0917522436986076</x:v>
      </x:c>
      <x:c r="I234" s="157" t="n">
        <x:v>0.06312142158676386</x:v>
      </x:c>
      <x:c r="J234" s="36" t="str">
        <x:v>Leitura real — sequência serpentina</x:v>
      </x:c>
    </x:row>
    <x:row r="235">
      <x:c r="A235" s="40" t="n">
        <x:v>223</x:v>
      </x:c>
      <x:c r="B235" s="41" t="n">
        <x:v>-0.55</x:v>
      </x:c>
      <x:c r="C235" s="41" t="n">
        <x:v>1.25</x:v>
      </x:c>
      <x:c r="D235" s="161" t="n">
        <x:v>7.59372727299904</x:v>
      </x:c>
      <x:c r="E235" s="161" t="n">
        <x:v>32.50627272700096</x:v>
      </x:c>
      <x:c r="F235" s="162" t="n">
        <x:v>34.388</x:v>
      </x:c>
      <x:c r="G235" s="158" t="n">
        <x:v>5.712000000000003</x:v>
      </x:c>
      <x:c r="H235" s="158" t="n">
        <x:v>1.8817272729990364</x:v>
      </x:c>
      <x:c r="I235" s="157" t="n">
        <x:v>0.05788812789465097</x:v>
      </x:c>
      <x:c r="J235" s="36" t="str">
        <x:v>Leitura real — sequência serpentina</x:v>
      </x:c>
    </x:row>
    <x:row r="236">
      <x:c r="A236" s="40" t="n">
        <x:v>224</x:v>
      </x:c>
      <x:c r="B236" s="41" t="n">
        <x:v>-0.30000000000000004</x:v>
      </x:c>
      <x:c r="C236" s="41" t="n">
        <x:v>1.25</x:v>
      </x:c>
      <x:c r="D236" s="161" t="n">
        <x:v>8.268581395621192</x:v>
      </x:c>
      <x:c r="E236" s="161" t="n">
        <x:v>31.83141860437881</x:v>
      </x:c>
      <x:c r="F236" s="162" t="n">
        <x:v>29.5721</x:v>
      </x:c>
      <x:c r="G236" s="158" t="n">
        <x:v>10.527900000000002</x:v>
      </x:c>
      <x:c r="H236" s="158" t="n">
        <x:v>-2.2593186043788123</x:v>
      </x:c>
      <x:c r="I236" s="157" t="n">
        <x:v>-0.07097762850154642</x:v>
      </x:c>
      <x:c r="J236" s="36" t="str">
        <x:v>Leitura real — sequência serpentina</x:v>
      </x:c>
    </x:row>
    <x:row r="237">
      <x:c r="A237" s="40" t="n">
        <x:v>225</x:v>
      </x:c>
      <x:c r="B237" s="41" t="n">
        <x:v>-0.050000000000000044</x:v>
      </x:c>
      <x:c r="C237" s="41" t="n">
        <x:v>1.25</x:v>
      </x:c>
      <x:c r="D237" s="161" t="n">
        <x:v>8.9525684555204</x:v>
      </x:c>
      <x:c r="E237" s="161" t="n">
        <x:v>31.147431544479602</x:v>
      </x:c>
      <x:c r="F237" s="162" t="n">
        <x:v>36.004</x:v>
      </x:c>
      <x:c r="G237" s="158" t="n">
        <x:v>4.096000000000004</x:v>
      </x:c>
      <x:c r="H237" s="158" t="n">
        <x:v>4.856568455520396</x:v>
      </x:c>
      <x:c r="I237" s="157" t="n">
        <x:v>0.15592195615182747</x:v>
      </x:c>
      <x:c r="J237" s="36" t="str">
        <x:v>Leitura real — sequência serpentina</x:v>
      </x:c>
    </x:row>
    <x:row r="238">
      <x:c r="A238" s="40" t="n">
        <x:v>226</x:v>
      </x:c>
      <x:c r="B238" s="41" t="n">
        <x:v>0.19999999999999996</x:v>
      </x:c>
      <x:c r="C238" s="41" t="n">
        <x:v>1.25</x:v>
      </x:c>
      <x:c r="D238" s="161" t="n">
        <x:v>9.598047104376016</x:v>
      </x:c>
      <x:c r="E238" s="161" t="n">
        <x:v>30.501952895623987</x:v>
      </x:c>
      <x:c r="F238" s="162" t="n">
        <x:v>34.0228</x:v>
      </x:c>
      <x:c r="G238" s="158" t="n">
        <x:v>6.077200000000005</x:v>
      </x:c>
      <x:c r="H238" s="158" t="n">
        <x:v>3.52084710437601</x:v>
      </x:c>
      <x:c r="I238" s="157" t="n">
        <x:v>0.11543021905594557</x:v>
      </x:c>
      <x:c r="J238" s="36" t="str">
        <x:v>Leitura real — sequência serpentina</x:v>
      </x:c>
    </x:row>
    <x:row r="239">
      <x:c r="A239" s="40" t="n">
        <x:v>227</x:v>
      </x:c>
      <x:c r="B239" s="41" t="n">
        <x:v>0.44999999999999996</x:v>
      </x:c>
      <x:c r="C239" s="41" t="n">
        <x:v>1.25</x:v>
      </x:c>
      <x:c r="D239" s="161" t="n">
        <x:v>10.153685593232133</x:v>
      </x:c>
      <x:c r="E239" s="161" t="n">
        <x:v>29.94631440676787</x:v>
      </x:c>
      <x:c r="F239" s="162" t="n">
        <x:v>33.5404</x:v>
      </x:c>
      <x:c r="G239" s="158" t="n">
        <x:v>6.559600000000003</x:v>
      </x:c>
      <x:c r="H239" s="158" t="n">
        <x:v>3.59408559323213</x:v>
      </x:c>
      <x:c r="I239" s="157" t="n">
        <x:v>0.12001762702457523</x:v>
      </x:c>
      <x:c r="J239" s="36" t="str">
        <x:v>Leitura real — sequência serpentina</x:v>
      </x:c>
    </x:row>
    <x:row r="240">
      <x:c r="A240" s="40" t="n">
        <x:v>228</x:v>
      </x:c>
      <x:c r="B240" s="41" t="n">
        <x:v>0.7</x:v>
      </x:c>
      <x:c r="C240" s="41" t="n">
        <x:v>1.25</x:v>
      </x:c>
      <x:c r="D240" s="161" t="n">
        <x:v>10.576925434229056</x:v>
      </x:c>
      <x:c r="E240" s="161" t="n">
        <x:v>29.523074565770948</x:v>
      </x:c>
      <x:c r="F240" s="162" t="n">
        <x:v>33.267</x:v>
      </x:c>
      <x:c r="G240" s="158" t="n">
        <x:v>6.832999999999998</x:v>
      </x:c>
      <x:c r="H240" s="158" t="n">
        <x:v>3.7439254342290553</x:v>
      </x:c>
      <x:c r="I240" s="157" t="n">
        <x:v>0.12681353447414187</x:v>
      </x:c>
      <x:c r="J240" s="36" t="str">
        <x:v>Leitura real — sequência serpentina</x:v>
      </x:c>
    </x:row>
    <x:row r="241">
      <x:c r="A241" s="40" t="n">
        <x:v>229</x:v>
      </x:c>
      <x:c r="B241" s="41" t="n">
        <x:v>0.95</x:v>
      </x:c>
      <x:c r="C241" s="41" t="n">
        <x:v>1.25</x:v>
      </x:c>
      <x:c r="D241" s="161" t="n">
        <x:v>10.840104337078996</x:v>
      </x:c>
      <x:c r="E241" s="161" t="n">
        <x:v>29.259895662921004</x:v>
      </x:c>
      <x:c r="F241" s="162" t="n">
        <x:v>29.3029</x:v>
      </x:c>
      <x:c r="G241" s="158" t="n">
        <x:v>10.7971</x:v>
      </x:c>
      <x:c r="H241" s="158" t="n">
        <x:v>0.04300433707899742</x:v>
      </x:c>
      <x:c r="I241" s="157" t="n">
        <x:v>0.0014697365149354848</x:v>
      </x:c>
      <x:c r="J241" s="36" t="str">
        <x:v>Leitura real — sequência serpentina</x:v>
      </x:c>
    </x:row>
    <x:row r="242">
      <x:c r="A242" s="40" t="n">
        <x:v>230</x:v>
      </x:c>
      <x:c r="B242" s="41" t="n">
        <x:v>1.2</x:v>
      </x:c>
      <x:c r="C242" s="41" t="n">
        <x:v>1.25</x:v>
      </x:c>
      <x:c r="D242" s="161" t="n">
        <x:v>10.929197169982105</x:v>
      </x:c>
      <x:c r="E242" s="161" t="n">
        <x:v>29.170802830017898</x:v>
      </x:c>
      <x:c r="F242" s="162" t="n">
        <x:v>29.2681</x:v>
      </x:c>
      <x:c r="G242" s="158" t="n">
        <x:v>10.831900000000001</x:v>
      </x:c>
      <x:c r="H242" s="158" t="n">
        <x:v>0.09729716998210236</x:v>
      </x:c>
      <x:c r="I242" s="157" t="n">
        <x:v>0.0033354299691052644</x:v>
      </x:c>
      <x:c r="J242" s="36" t="str">
        <x:v>Leitura real — sequência serpentina</x:v>
      </x:c>
    </x:row>
    <x:row r="243">
      <x:c r="A243" s="40" t="n">
        <x:v>231</x:v>
      </x:c>
      <x:c r="B243" s="41" t="n">
        <x:v>1.45</x:v>
      </x:c>
      <x:c r="C243" s="41" t="n">
        <x:v>1.25</x:v>
      </x:c>
      <x:c r="D243" s="161" t="n">
        <x:v>10.840104337078996</x:v>
      </x:c>
      <x:c r="E243" s="161" t="n">
        <x:v>29.259895662921004</x:v>
      </x:c>
      <x:c r="F243" s="162" t="n">
        <x:v>27.4978</x:v>
      </x:c>
      <x:c r="G243" s="158" t="n">
        <x:v>12.6022</x:v>
      </x:c>
      <x:c r="H243" s="158" t="n">
        <x:v>-1.762095662921002</x:v>
      </x:c>
      <x:c r="I243" s="157" t="n">
        <x:v>-0.06022221279325959</x:v>
      </x:c>
      <x:c r="J243" s="36" t="str">
        <x:v>Leitura real — sequência serpentina</x:v>
      </x:c>
    </x:row>
    <x:row r="244">
      <x:c r="A244" s="40" t="n">
        <x:v>232</x:v>
      </x:c>
      <x:c r="B244" s="41" t="n">
        <x:v>1.7</x:v>
      </x:c>
      <x:c r="C244" s="41" t="n">
        <x:v>1.25</x:v>
      </x:c>
      <x:c r="D244" s="161" t="n">
        <x:v>10.576925434229056</x:v>
      </x:c>
      <x:c r="E244" s="161" t="n">
        <x:v>29.523074565770948</x:v>
      </x:c>
      <x:c r="F244" s="162" t="n">
        <x:v>28.5915</x:v>
      </x:c>
      <x:c r="G244" s="158" t="n">
        <x:v>11.508500000000002</x:v>
      </x:c>
      <x:c r="H244" s="158" t="n">
        <x:v>-0.9315745657709478</x:v>
      </x:c>
      <x:c r="I244" s="157" t="n">
        <x:v>-0.03155411756643447</x:v>
      </x:c>
      <x:c r="J244" s="36" t="str">
        <x:v>Leitura real — sequência serpentina</x:v>
      </x:c>
    </x:row>
    <x:row r="245">
      <x:c r="A245" s="40" t="n">
        <x:v>233</x:v>
      </x:c>
      <x:c r="B245" s="41" t="n">
        <x:v>1.95</x:v>
      </x:c>
      <x:c r="C245" s="41" t="n">
        <x:v>1.25</x:v>
      </x:c>
      <x:c r="D245" s="161" t="n">
        <x:v>10.153685593232133</x:v>
      </x:c>
      <x:c r="E245" s="161" t="n">
        <x:v>29.94631440676787</x:v>
      </x:c>
      <x:c r="F245" s="162" t="n">
        <x:v>29.0026</x:v>
      </x:c>
      <x:c r="G245" s="158" t="n">
        <x:v>11.0974</x:v>
      </x:c>
      <x:c r="H245" s="158" t="n">
        <x:v>-0.9437144067678673</x:v>
      </x:c>
      <x:c r="I245" s="157" t="n">
        <x:v>-0.031513540997037945</x:v>
      </x:c>
      <x:c r="J245" s="36" t="str">
        <x:v>Leitura real — sequência serpentina</x:v>
      </x:c>
    </x:row>
    <x:row r="246">
      <x:c r="A246" s="40" t="n">
        <x:v>234</x:v>
      </x:c>
      <x:c r="B246" s="41" t="n">
        <x:v>2.2</x:v>
      </x:c>
      <x:c r="C246" s="41" t="n">
        <x:v>1.25</x:v>
      </x:c>
      <x:c r="D246" s="161" t="n">
        <x:v>9.598047104376015</x:v>
      </x:c>
      <x:c r="E246" s="161" t="n">
        <x:v>30.501952895623987</x:v>
      </x:c>
      <x:c r="F246" s="162" t="n">
        <x:v>30.6883</x:v>
      </x:c>
      <x:c r="G246" s="158" t="n">
        <x:v>9.4117</x:v>
      </x:c>
      <x:c r="H246" s="158" t="n">
        <x:v>0.18634710437601498</x:v>
      </x:c>
      <x:c r="I246" s="157" t="n">
        <x:v>0.006109349949286348</x:v>
      </x:c>
      <x:c r="J246" s="36" t="str">
        <x:v>Leitura real — sequência serpentina</x:v>
      </x:c>
    </x:row>
    <x:row r="247">
      <x:c r="A247" s="40" t="n">
        <x:v>235</x:v>
      </x:c>
      <x:c r="B247" s="41" t="n">
        <x:v>2.45</x:v>
      </x:c>
      <x:c r="C247" s="41" t="n">
        <x:v>1.25</x:v>
      </x:c>
      <x:c r="D247" s="161" t="n">
        <x:v>8.952568455520398</x:v>
      </x:c>
      <x:c r="E247" s="161" t="n">
        <x:v>31.147431544479602</x:v>
      </x:c>
      <x:c r="F247" s="162" t="n">
        <x:v>32.5465</x:v>
      </x:c>
      <x:c r="G247" s="158" t="n">
        <x:v>7.5535</x:v>
      </x:c>
      <x:c r="H247" s="158" t="n">
        <x:v>1.3990684555203998</x:v>
      </x:c>
      <x:c r="I247" s="157" t="n">
        <x:v>0.04491761876167805</x:v>
      </x:c>
      <x:c r="J247" s="36" t="str">
        <x:v>Leitura real — sequência serpentina</x:v>
      </x:c>
    </x:row>
    <x:row r="248">
      <x:c r="A248" s="40" t="n">
        <x:v>236</x:v>
      </x:c>
      <x:c r="B248" s="41" t="n">
        <x:v>2.7</x:v>
      </x:c>
      <x:c r="C248" s="41" t="n">
        <x:v>1.25</x:v>
      </x:c>
      <x:c r="D248" s="161" t="n">
        <x:v>8.26858139562119</x:v>
      </x:c>
      <x:c r="E248" s="161" t="n">
        <x:v>31.83141860437881</x:v>
      </x:c>
      <x:c r="F248" s="162" t="n">
        <x:v>31.2797</x:v>
      </x:c>
      <x:c r="G248" s="158" t="n">
        <x:v>8.820300000000003</x:v>
      </x:c>
      <x:c r="H248" s="158" t="n">
        <x:v>-0.5517186043788129</x:v>
      </x:c>
      <x:c r="I248" s="157" t="n">
        <x:v>-0.017332517008931455</x:v>
      </x:c>
      <x:c r="J248" s="36" t="str">
        <x:v>Leitura real — sequência serpentina</x:v>
      </x:c>
    </x:row>
    <x:row r="249">
      <x:c r="A249" s="40" t="n">
        <x:v>237</x:v>
      </x:c>
      <x:c r="B249" s="41" t="n">
        <x:v>2.95</x:v>
      </x:c>
      <x:c r="C249" s="41" t="n">
        <x:v>1.25</x:v>
      </x:c>
      <x:c r="D249" s="161" t="n">
        <x:v>7.59372727299904</x:v>
      </x:c>
      <x:c r="E249" s="161" t="n">
        <x:v>32.50627272700096</x:v>
      </x:c>
      <x:c r="F249" s="162" t="n">
        <x:v>31.9124</x:v>
      </x:c>
      <x:c r="G249" s="158" t="n">
        <x:v>8.1876</x:v>
      </x:c>
      <x:c r="H249" s="158" t="n">
        <x:v>-0.59387272700096</x:v>
      </x:c>
      <x:c r="I249" s="157" t="n">
        <x:v>-0.01826948084723557</x:v>
      </x:c>
      <x:c r="J249" s="36" t="str">
        <x:v>Leitura real — sequência serpentina</x:v>
      </x:c>
    </x:row>
    <x:row r="250">
      <x:c r="A250" s="40" t="n">
        <x:v>238</x:v>
      </x:c>
      <x:c r="B250" s="41" t="n">
        <x:v>3.2</x:v>
      </x:c>
      <x:c r="C250" s="41" t="n">
        <x:v>1.25</x:v>
      </x:c>
      <x:c r="D250" s="161" t="n">
        <x:v>6.961452243698607</x:v>
      </x:c>
      <x:c r="E250" s="161" t="n">
        <x:v>33.13854775630139</x:v>
      </x:c>
      <x:c r="F250" s="162" t="n">
        <x:v>32.4141</x:v>
      </x:c>
      <x:c r="G250" s="158" t="n">
        <x:v>7.685900000000004</x:v>
      </x:c>
      <x:c r="H250" s="158" t="n">
        <x:v>-0.7244477563013945</x:v>
      </x:c>
      <x:c r="I250" s="157" t="n">
        <x:v>-0.02186117996566819</x:v>
      </x:c>
      <x:c r="J250" s="36" t="str">
        <x:v>Leitura real — sequência serpentina</x:v>
      </x:c>
    </x:row>
    <x:row r="251">
      <x:c r="A251" s="40" t="n">
        <x:v>239</x:v>
      </x:c>
      <x:c r="B251" s="41" t="n">
        <x:v>-0.8</x:v>
      </x:c>
      <x:c r="C251" s="41" t="n">
        <x:v>1.5</x:v>
      </x:c>
      <x:c r="D251" s="161" t="n">
        <x:v>6.485340964666522</x:v>
      </x:c>
      <x:c r="E251" s="161" t="n">
        <x:v>33.61465903533348</x:v>
      </x:c>
      <x:c r="F251" s="162" t="n">
        <x:v>35.0522</x:v>
      </x:c>
      <x:c r="G251" s="158" t="n">
        <x:v>5.047800000000002</x:v>
      </x:c>
      <x:c r="H251" s="158" t="n">
        <x:v>1.4375409646665176</x:v>
      </x:c>
      <x:c r="I251" s="157" t="n">
        <x:v>0.0427652996020418</x:v>
      </x:c>
      <x:c r="J251" s="36" t="str">
        <x:v>Leitura real — sequência serpentina</x:v>
      </x:c>
    </x:row>
    <x:row r="252">
      <x:c r="A252" s="40" t="n">
        <x:v>240</x:v>
      </x:c>
      <x:c r="B252" s="41" t="n">
        <x:v>-0.55</x:v>
      </x:c>
      <x:c r="C252" s="41" t="n">
        <x:v>1.5</x:v>
      </x:c>
      <x:c r="D252" s="161" t="n">
        <x:v>6.986293464352248</x:v>
      </x:c>
      <x:c r="E252" s="161" t="n">
        <x:v>33.11370653564775</x:v>
      </x:c>
      <x:c r="F252" s="162" t="n">
        <x:v>38.2516</x:v>
      </x:c>
      <x:c r="G252" s="158" t="n">
        <x:v>1.848399999999998</x:v>
      </x:c>
      <x:c r="H252" s="158" t="n">
        <x:v>5.137893464352253</x:v>
      </x:c>
      <x:c r="I252" s="157" t="n">
        <x:v>0.15515911693005974</x:v>
      </x:c>
      <x:c r="J252" s="36" t="str">
        <x:v>Leitura real — sequência serpentina</x:v>
      </x:c>
    </x:row>
    <x:row r="253">
      <x:c r="A253" s="40" t="n">
        <x:v>241</x:v>
      </x:c>
      <x:c r="B253" s="41" t="n">
        <x:v>-0.30000000000000004</x:v>
      </x:c>
      <x:c r="C253" s="41" t="n">
        <x:v>1.5</x:v>
      </x:c>
      <x:c r="D253" s="161" t="n">
        <x:v>7.505056340515613</x:v>
      </x:c>
      <x:c r="E253" s="161" t="n">
        <x:v>32.594943659484386</x:v>
      </x:c>
      <x:c r="F253" s="162" t="n">
        <x:v>38.5448</x:v>
      </x:c>
      <x:c r="G253" s="158" t="n">
        <x:v>1.5551999999999992</x:v>
      </x:c>
      <x:c r="H253" s="158" t="n">
        <x:v>5.949856340515616</x:v>
      </x:c>
      <x:c r="I253" s="157" t="n">
        <x:v>0.18253924297808516</x:v>
      </x:c>
      <x:c r="J253" s="36" t="str">
        <x:v>Leitura real — sequência serpentina</x:v>
      </x:c>
    </x:row>
    <x:row r="254">
      <x:c r="A254" s="40" t="n">
        <x:v>242</x:v>
      </x:c>
      <x:c r="B254" s="41" t="n">
        <x:v>-0.050000000000000044</x:v>
      </x:c>
      <x:c r="C254" s="41" t="n">
        <x:v>1.5</x:v>
      </x:c>
      <x:c r="D254" s="161" t="n">
        <x:v>8.017938711213256</x:v>
      </x:c>
      <x:c r="E254" s="161" t="n">
        <x:v>32.08206128878675</x:v>
      </x:c>
      <x:c r="F254" s="162" t="n">
        <x:v>34.4818</x:v>
      </x:c>
      <x:c r="G254" s="158" t="n">
        <x:v>5.618200000000002</x:v>
      </x:c>
      <x:c r="H254" s="158" t="n">
        <x:v>2.399738711213253</x:v>
      </x:c>
      <x:c r="I254" s="157" t="n">
        <x:v>0.07480001642076547</x:v>
      </x:c>
      <x:c r="J254" s="36" t="str">
        <x:v>Leitura real — sequência serpentina</x:v>
      </x:c>
    </x:row>
    <x:row r="255">
      <x:c r="A255" s="40" t="n">
        <x:v>243</x:v>
      </x:c>
      <x:c r="B255" s="41" t="n">
        <x:v>0.19999999999999996</x:v>
      </x:c>
      <x:c r="C255" s="41" t="n">
        <x:v>1.5</x:v>
      </x:c>
      <x:c r="D255" s="161" t="n">
        <x:v>8.494491002345056</x:v>
      </x:c>
      <x:c r="E255" s="161" t="n">
        <x:v>31.605508997654944</x:v>
      </x:c>
      <x:c r="F255" s="162" t="n">
        <x:v>33.2362</x:v>
      </x:c>
      <x:c r="G255" s="158" t="n">
        <x:v>6.863800000000005</x:v>
      </x:c>
      <x:c r="H255" s="158" t="n">
        <x:v>1.6306910023450527</x:v>
      </x:c>
      <x:c r="I255" s="157" t="n">
        <x:v>0.051595150784189116</x:v>
      </x:c>
      <x:c r="J255" s="36" t="str">
        <x:v>Leitura real — sequência serpentina</x:v>
      </x:c>
    </x:row>
    <x:row r="256">
      <x:c r="A256" s="40" t="n">
        <x:v>244</x:v>
      </x:c>
      <x:c r="B256" s="41" t="n">
        <x:v>0.44999999999999996</x:v>
      </x:c>
      <x:c r="C256" s="41" t="n">
        <x:v>1.5</x:v>
      </x:c>
      <x:c r="D256" s="161" t="n">
        <x:v>8.902553432714495</x:v>
      </x:c>
      <x:c r="E256" s="161" t="n">
        <x:v>31.197446567285507</x:v>
      </x:c>
      <x:c r="F256" s="162" t="n">
        <x:v>28.9816</x:v>
      </x:c>
      <x:c r="G256" s="158" t="n">
        <x:v>11.118400000000001</x:v>
      </x:c>
      <x:c r="H256" s="158" t="n">
        <x:v>-2.2158465672855066</x:v>
      </x:c>
      <x:c r="I256" s="157" t="n">
        <x:v>-0.07102653617841607</x:v>
      </x:c>
      <x:c r="J256" s="36" t="str">
        <x:v>Leitura real — sequência serpentina</x:v>
      </x:c>
    </x:row>
    <x:row r="257">
      <x:c r="A257" s="40" t="n">
        <x:v>245</x:v>
      </x:c>
      <x:c r="B257" s="41" t="n">
        <x:v>0.7</x:v>
      </x:c>
      <x:c r="C257" s="41" t="n">
        <x:v>1.5</x:v>
      </x:c>
      <x:c r="D257" s="161" t="n">
        <x:v>9.214053179486374</x:v>
      </x:c>
      <x:c r="E257" s="161" t="n">
        <x:v>30.885946820513627</x:v>
      </x:c>
      <x:c r="F257" s="162" t="n">
        <x:v>28.6717</x:v>
      </x:c>
      <x:c r="G257" s="158" t="n">
        <x:v>11.4283</x:v>
      </x:c>
      <x:c r="H257" s="158" t="n">
        <x:v>-2.214246820513626</x:v>
      </x:c>
      <x:c r="I257" s="157" t="n">
        <x:v>-0.07169107793201865</x:v>
      </x:c>
      <x:c r="J257" s="36" t="str">
        <x:v>Leitura real — sequência serpentina</x:v>
      </x:c>
    </x:row>
    <x:row r="258">
      <x:c r="A258" s="40" t="n">
        <x:v>246</x:v>
      </x:c>
      <x:c r="B258" s="41" t="n">
        <x:v>0.95</x:v>
      </x:c>
      <x:c r="C258" s="41" t="n">
        <x:v>1.5</x:v>
      </x:c>
      <x:c r="D258" s="161" t="n">
        <x:v>9.408705043929048</x:v>
      </x:c>
      <x:c r="E258" s="161" t="n">
        <x:v>30.691294956070955</x:v>
      </x:c>
      <x:c r="F258" s="162" t="n">
        <x:v>32.2997</x:v>
      </x:c>
      <x:c r="G258" s="158" t="n">
        <x:v>7.8003</x:v>
      </x:c>
      <x:c r="H258" s="158" t="n">
        <x:v>1.6084050439290465</x:v>
      </x:c>
      <x:c r="I258" s="157" t="n">
        <x:v>0.05240590357074173</x:v>
      </x:c>
      <x:c r="J258" s="36" t="str">
        <x:v>Leitura real — sequência serpentina</x:v>
      </x:c>
    </x:row>
    <x:row r="259">
      <x:c r="A259" s="40" t="n">
        <x:v>247</x:v>
      </x:c>
      <x:c r="B259" s="41" t="n">
        <x:v>1.2</x:v>
      </x:c>
      <x:c r="C259" s="41" t="n">
        <x:v>1.5</x:v>
      </x:c>
      <x:c r="D259" s="161" t="n">
        <x:v>9.474835266637285</x:v>
      </x:c>
      <x:c r="E259" s="161" t="n">
        <x:v>30.625164733362716</x:v>
      </x:c>
      <x:c r="F259" s="162" t="n">
        <x:v>30.5764</x:v>
      </x:c>
      <x:c r="G259" s="158" t="n">
        <x:v>9.523600000000002</x:v>
      </x:c>
      <x:c r="H259" s="158" t="n">
        <x:v>-0.048764733362716584</x:v>
      </x:c>
      <x:c r="I259" s="157" t="n">
        <x:v>-0.0015923092589798487</x:v>
      </x:c>
      <x:c r="J259" s="36" t="str">
        <x:v>Leitura real — sequência serpentina</x:v>
      </x:c>
    </x:row>
    <x:row r="260">
      <x:c r="A260" s="40" t="n">
        <x:v>248</x:v>
      </x:c>
      <x:c r="B260" s="41" t="n">
        <x:v>1.45</x:v>
      </x:c>
      <x:c r="C260" s="41" t="n">
        <x:v>1.5</x:v>
      </x:c>
      <x:c r="D260" s="161" t="n">
        <x:v>9.408705043929048</x:v>
      </x:c>
      <x:c r="E260" s="161" t="n">
        <x:v>30.691294956070955</x:v>
      </x:c>
      <x:c r="F260" s="162" t="n">
        <x:v>27.9771</x:v>
      </x:c>
      <x:c r="G260" s="158" t="n">
        <x:v>12.122900000000001</x:v>
      </x:c>
      <x:c r="H260" s="158" t="n">
        <x:v>-2.714194956070955</x:v>
      </x:c>
      <x:c r="I260" s="157" t="n">
        <x:v>-0.08843533516444434</x:v>
      </x:c>
      <x:c r="J260" s="36" t="str">
        <x:v>Leitura real — sequência serpentina</x:v>
      </x:c>
    </x:row>
    <x:row r="261">
      <x:c r="A261" s="40" t="n">
        <x:v>249</x:v>
      </x:c>
      <x:c r="B261" s="41" t="n">
        <x:v>1.7</x:v>
      </x:c>
      <x:c r="C261" s="41" t="n">
        <x:v>1.5</x:v>
      </x:c>
      <x:c r="D261" s="161" t="n">
        <x:v>9.214053179486374</x:v>
      </x:c>
      <x:c r="E261" s="161" t="n">
        <x:v>30.885946820513627</x:v>
      </x:c>
      <x:c r="F261" s="162" t="n">
        <x:v>30.6883</x:v>
      </x:c>
      <x:c r="G261" s="158" t="n">
        <x:v>9.4117</x:v>
      </x:c>
      <x:c r="H261" s="158" t="n">
        <x:v>-0.1976468205136257</x:v>
      </x:c>
      <x:c r="I261" s="157" t="n">
        <x:v>-0.0063992475821513075</x:v>
      </x:c>
      <x:c r="J261" s="36" t="str">
        <x:v>Leitura real — sequência serpentina</x:v>
      </x:c>
    </x:row>
    <x:row r="262">
      <x:c r="A262" s="40" t="n">
        <x:v>250</x:v>
      </x:c>
      <x:c r="B262" s="41" t="n">
        <x:v>1.95</x:v>
      </x:c>
      <x:c r="C262" s="41" t="n">
        <x:v>1.5</x:v>
      </x:c>
      <x:c r="D262" s="161" t="n">
        <x:v>8.902553432714495</x:v>
      </x:c>
      <x:c r="E262" s="161" t="n">
        <x:v>31.197446567285507</x:v>
      </x:c>
      <x:c r="F262" s="162" t="n">
        <x:v>32.0118</x:v>
      </x:c>
      <x:c r="G262" s="158" t="n">
        <x:v>8.0882</x:v>
      </x:c>
      <x:c r="H262" s="158" t="n">
        <x:v>0.8143534327144941</x:v>
      </x:c>
      <x:c r="I262" s="157" t="n">
        <x:v>0.02610320786857112</x:v>
      </x:c>
      <x:c r="J262" s="36" t="str">
        <x:v>Leitura real — sequência serpentina</x:v>
      </x:c>
    </x:row>
    <x:row r="263">
      <x:c r="A263" s="40" t="n">
        <x:v>251</x:v>
      </x:c>
      <x:c r="B263" s="41" t="n">
        <x:v>2.2</x:v>
      </x:c>
      <x:c r="C263" s="41" t="n">
        <x:v>1.5</x:v>
      </x:c>
      <x:c r="D263" s="161" t="n">
        <x:v>8.494491002345056</x:v>
      </x:c>
      <x:c r="E263" s="161" t="n">
        <x:v>31.605508997654944</x:v>
      </x:c>
      <x:c r="F263" s="162" t="n">
        <x:v>33.6579</x:v>
      </x:c>
      <x:c r="G263" s="158" t="n">
        <x:v>6.4421000000000035</x:v>
      </x:c>
      <x:c r="H263" s="158" t="n">
        <x:v>2.052391002345054</x:v>
      </x:c>
      <x:c r="I263" s="157" t="n">
        <x:v>0.06493776140410637</x:v>
      </x:c>
      <x:c r="J263" s="36" t="str">
        <x:v>Leitura real — sequência serpentina</x:v>
      </x:c>
    </x:row>
    <x:row r="264">
      <x:c r="A264" s="40" t="n">
        <x:v>252</x:v>
      </x:c>
      <x:c r="B264" s="41" t="n">
        <x:v>2.45</x:v>
      </x:c>
      <x:c r="C264" s="41" t="n">
        <x:v>1.5</x:v>
      </x:c>
      <x:c r="D264" s="161" t="n">
        <x:v>8.017938711213256</x:v>
      </x:c>
      <x:c r="E264" s="161" t="n">
        <x:v>32.08206128878675</x:v>
      </x:c>
      <x:c r="F264" s="162" t="n">
        <x:v>31.8481</x:v>
      </x:c>
      <x:c r="G264" s="158" t="n">
        <x:v>8.251900000000003</x:v>
      </x:c>
      <x:c r="H264" s="158" t="n">
        <x:v>-0.23396128878674816</x:v>
      </x:c>
      <x:c r="I264" s="157" t="n">
        <x:v>-0.007292589047840321</x:v>
      </x:c>
      <x:c r="J264" s="36" t="str">
        <x:v>Leitura real — sequência serpentina</x:v>
      </x:c>
    </x:row>
    <x:row r="265">
      <x:c r="A265" s="40" t="n">
        <x:v>253</x:v>
      </x:c>
      <x:c r="B265" s="41" t="n">
        <x:v>2.7</x:v>
      </x:c>
      <x:c r="C265" s="41" t="n">
        <x:v>1.5</x:v>
      </x:c>
      <x:c r="D265" s="161" t="n">
        <x:v>7.505056340515612</x:v>
      </x:c>
      <x:c r="E265" s="161" t="n">
        <x:v>32.594943659484386</x:v>
      </x:c>
      <x:c r="F265" s="162" t="n">
        <x:v>31.9762</x:v>
      </x:c>
      <x:c r="G265" s="158" t="n">
        <x:v>8.123800000000003</x:v>
      </x:c>
      <x:c r="H265" s="158" t="n">
        <x:v>-0.6187436594843874</x:v>
      </x:c>
      <x:c r="I265" s="157" t="n">
        <x:v>-0.01898281113624036</x:v>
      </x:c>
      <x:c r="J265" s="36" t="str">
        <x:v>Leitura real — sequência serpentina</x:v>
      </x:c>
    </x:row>
    <x:row r="266">
      <x:c r="A266" s="40" t="n">
        <x:v>254</x:v>
      </x:c>
      <x:c r="B266" s="41" t="n">
        <x:v>2.95</x:v>
      </x:c>
      <x:c r="C266" s="41" t="n">
        <x:v>1.5</x:v>
      </x:c>
      <x:c r="D266" s="161" t="n">
        <x:v>6.986293464352247</x:v>
      </x:c>
      <x:c r="E266" s="161" t="n">
        <x:v>33.11370653564775</x:v>
      </x:c>
      <x:c r="F266" s="162" t="n">
        <x:v>33.0921</x:v>
      </x:c>
      <x:c r="G266" s="158" t="n">
        <x:v>7.007899999999999</x:v>
      </x:c>
      <x:c r="H266" s="158" t="n">
        <x:v>-0.021606535647748615</x:v>
      </x:c>
      <x:c r="I266" s="157" t="n">
        <x:v>-0.000652495232585595</x:v>
      </x:c>
      <x:c r="J266" s="36" t="str">
        <x:v>Leitura real — sequência serpentina</x:v>
      </x:c>
    </x:row>
    <x:row r="267">
      <x:c r="A267" s="40" t="n">
        <x:v>255</x:v>
      </x:c>
      <x:c r="B267" s="41" t="n">
        <x:v>3.2</x:v>
      </x:c>
      <x:c r="C267" s="41" t="n">
        <x:v>1.5</x:v>
      </x:c>
      <x:c r="D267" s="161" t="n">
        <x:v>6.485340964666521</x:v>
      </x:c>
      <x:c r="E267" s="161" t="n">
        <x:v>33.61465903533348</x:v>
      </x:c>
      <x:c r="F267" s="162" t="n">
        <x:v>33.9597</x:v>
      </x:c>
      <x:c r="G267" s="158" t="n">
        <x:v>6.140300000000003</x:v>
      </x:c>
      <x:c r="H267" s="158" t="n">
        <x:v>0.34504096466651646</x:v>
      </x:c>
      <x:c r="I267" s="157" t="n">
        <x:v>0.010264598082159111</x:v>
      </x:c>
      <x:c r="J267" s="36" t="str">
        <x:v>Leitura real — sequência serpentina</x:v>
      </x:c>
    </x:row>
    <x:row r="268">
      <x:c r="A268" s="40" t="n">
        <x:v>256</x:v>
      </x:c>
      <x:c r="B268" s="41" t="n">
        <x:v>-0.8</x:v>
      </x:c>
      <x:c r="C268" s="41" t="n">
        <x:v>1.75</x:v>
      </x:c>
      <x:c r="D268" s="161" t="n">
        <x:v>6.0449123593594445</x:v>
      </x:c>
      <x:c r="E268" s="161" t="n">
        <x:v>34.05508764064056</x:v>
      </x:c>
      <x:c r="F268" s="162" t="n">
        <x:v>37.5147</x:v>
      </x:c>
      <x:c r="G268" s="158" t="n">
        <x:v>2.5853000000000037</x:v>
      </x:c>
      <x:c r="H268" s="158" t="n">
        <x:v>3.45961235935944</x:v>
      </x:c>
      <x:c r="I268" s="157" t="n">
        <x:v>0.10158870815034457</x:v>
      </x:c>
      <x:c r="J268" s="36" t="str">
        <x:v>Leitura real — sequência serpentina</x:v>
      </x:c>
    </x:row>
    <x:row r="269">
      <x:c r="A269" s="40" t="n">
        <x:v>257</x:v>
      </x:c>
      <x:c r="B269" s="41" t="n">
        <x:v>-0.55</x:v>
      </x:c>
      <x:c r="C269" s="41" t="n">
        <x:v>1.75</x:v>
      </x:c>
      <x:c r="D269" s="161" t="n">
        <x:v>6.4455416047364835</x:v>
      </x:c>
      <x:c r="E269" s="161" t="n">
        <x:v>33.65445839526352</x:v>
      </x:c>
      <x:c r="F269" s="162" t="n">
        <x:v>35.1372</x:v>
      </x:c>
      <x:c r="G269" s="158" t="n">
        <x:v>4.962800000000001</x:v>
      </x:c>
      <x:c r="H269" s="158" t="n">
        <x:v>1.482741604736482</x:v>
      </x:c>
      <x:c r="I269" s="157" t="n">
        <x:v>0.044057806170048515</x:v>
      </x:c>
      <x:c r="J269" s="36" t="str">
        <x:v>Leitura real — sequência serpentina</x:v>
      </x:c>
    </x:row>
    <x:row r="270">
      <x:c r="A270" s="40" t="n">
        <x:v>258</x:v>
      </x:c>
      <x:c r="B270" s="41" t="n">
        <x:v>-0.30000000000000004</x:v>
      </x:c>
      <x:c r="C270" s="41" t="n">
        <x:v>1.75</x:v>
      </x:c>
      <x:c r="D270" s="161" t="n">
        <x:v>6.850758958393904</x:v>
      </x:c>
      <x:c r="E270" s="161" t="n">
        <x:v>33.2492410416061</x:v>
      </x:c>
      <x:c r="F270" s="162" t="n">
        <x:v>33.2039</x:v>
      </x:c>
      <x:c r="G270" s="158" t="n">
        <x:v>6.896100000000004</x:v>
      </x:c>
      <x:c r="H270" s="158" t="n">
        <x:v>-0.04534104160610042</x:v>
      </x:c>
      <x:c r="I270" s="157" t="n">
        <x:v>-0.0013636714759703349</x:v>
      </x:c>
      <x:c r="J270" s="36" t="str">
        <x:v>Leitura real — sequência serpentina</x:v>
      </x:c>
    </x:row>
    <x:row r="271">
      <x:c r="A271" s="40" t="n">
        <x:v>259</x:v>
      </x:c>
      <x:c r="B271" s="41" t="n">
        <x:v>-0.050000000000000044</x:v>
      </x:c>
      <x:c r="C271" s="41" t="n">
        <x:v>1.75</x:v>
      </x:c>
      <x:c r="D271" s="161" t="n">
        <x:v>7.243575324620411</x:v>
      </x:c>
      <x:c r="E271" s="161" t="n">
        <x:v>32.85642467537959</x:v>
      </x:c>
      <x:c r="F271" s="162" t="n">
        <x:v>33.0975</x:v>
      </x:c>
      <x:c r="G271" s="158" t="n">
        <x:v>7.002500000000005</x:v>
      </x:c>
      <x:c r="H271" s="158" t="n">
        <x:v>0.24107532462040382</x:v>
      </x:c>
      <x:c r="I271" s="157" t="n">
        <x:v>0.007337235472277346</x:v>
      </x:c>
      <x:c r="J271" s="36" t="str">
        <x:v>Leitura real — sequência serpentina</x:v>
      </x:c>
    </x:row>
    <x:row r="272">
      <x:c r="A272" s="40" t="n">
        <x:v>260</x:v>
      </x:c>
      <x:c r="B272" s="41" t="n">
        <x:v>0.19999999999999996</x:v>
      </x:c>
      <x:c r="C272" s="41" t="n">
        <x:v>1.75</x:v>
      </x:c>
      <x:c r="D272" s="161" t="n">
        <x:v>7.603562763168742</x:v>
      </x:c>
      <x:c r="E272" s="161" t="n">
        <x:v>32.49643723683126</x:v>
      </x:c>
      <x:c r="F272" s="162" t="n">
        <x:v>29.5384</x:v>
      </x:c>
      <x:c r="G272" s="158" t="n">
        <x:v>10.561600000000002</x:v>
      </x:c>
      <x:c r="H272" s="158" t="n">
        <x:v>-2.958037236831263</x:v>
      </x:c>
      <x:c r="I272" s="157" t="n">
        <x:v>-0.09102650900692097</x:v>
      </x:c>
      <x:c r="J272" s="36" t="str">
        <x:v>Leitura real — sequência serpentina</x:v>
      </x:c>
    </x:row>
    <x:row r="273">
      <x:c r="A273" s="40" t="n">
        <x:v>261</x:v>
      </x:c>
      <x:c r="B273" s="41" t="n">
        <x:v>0.44999999999999996</x:v>
      </x:c>
      <x:c r="C273" s="41" t="n">
        <x:v>1.75</x:v>
      </x:c>
      <x:c r="D273" s="161" t="n">
        <x:v>7.909529324555869</x:v>
      </x:c>
      <x:c r="E273" s="161" t="n">
        <x:v>32.19047067544413</x:v>
      </x:c>
      <x:c r="F273" s="162" t="n">
        <x:v>27.4485</x:v>
      </x:c>
      <x:c r="G273" s="158" t="n">
        <x:v>12.651500000000002</x:v>
      </x:c>
      <x:c r="H273" s="158" t="n">
        <x:v>-4.741970675444133</x:v>
      </x:c>
      <x:c r="I273" s="157" t="n">
        <x:v>-0.14730976515548286</x:v>
      </x:c>
      <x:c r="J273" s="36" t="str">
        <x:v>Leitura real — sequência serpentina</x:v>
      </x:c>
    </x:row>
    <x:row r="274">
      <x:c r="A274" s="40" t="n">
        <x:v>262</x:v>
      </x:c>
      <x:c r="B274" s="41" t="n">
        <x:v>0.7</x:v>
      </x:c>
      <x:c r="C274" s="41" t="n">
        <x:v>1.75</x:v>
      </x:c>
      <x:c r="D274" s="161" t="n">
        <x:v>8.14254239740988</x:v>
      </x:c>
      <x:c r="E274" s="161" t="n">
        <x:v>31.95745760259012</x:v>
      </x:c>
      <x:c r="F274" s="162" t="n">
        <x:v>30.3171</x:v>
      </x:c>
      <x:c r="G274" s="158" t="n">
        <x:v>9.782900000000001</x:v>
      </x:c>
      <x:c r="H274" s="158" t="n">
        <x:v>-1.6403576025901216</x:v>
      </x:c>
      <x:c r="I274" s="157" t="n">
        <x:v>-0.0513294149675152</x:v>
      </x:c>
      <x:c r="J274" s="36" t="str">
        <x:v>Leitura real — sequência serpentina</x:v>
      </x:c>
    </x:row>
    <x:row r="275">
      <x:c r="A275" s="40" t="n">
        <x:v>263</x:v>
      </x:c>
      <x:c r="B275" s="41" t="n">
        <x:v>0.95</x:v>
      </x:c>
      <x:c r="C275" s="41" t="n">
        <x:v>1.75</x:v>
      </x:c>
      <x:c r="D275" s="161" t="n">
        <x:v>8.288203368115582</x:v>
      </x:c>
      <x:c r="E275" s="161" t="n">
        <x:v>31.81179663188442</x:v>
      </x:c>
      <x:c r="F275" s="162" t="n">
        <x:v>31.847</x:v>
      </x:c>
      <x:c r="G275" s="158" t="n">
        <x:v>8.253</x:v>
      </x:c>
      <x:c r="H275" s="158" t="n">
        <x:v>0.03520336811558167</x:v>
      </x:c>
      <x:c r="I275" s="157" t="n">
        <x:v>0.0011066136415664727</x:v>
      </x:c>
      <x:c r="J275" s="36" t="str">
        <x:v>Leitura real — sequência serpentina</x:v>
      </x:c>
    </x:row>
    <x:row r="276">
      <x:c r="A276" s="40" t="n">
        <x:v>264</x:v>
      </x:c>
      <x:c r="B276" s="41" t="n">
        <x:v>1.2</x:v>
      </x:c>
      <x:c r="C276" s="41" t="n">
        <x:v>1.75</x:v>
      </x:c>
      <x:c r="D276" s="161" t="n">
        <x:v>8.337731526890748</x:v>
      </x:c>
      <x:c r="E276" s="161" t="n">
        <x:v>31.762268473109252</x:v>
      </x:c>
      <x:c r="F276" s="162" t="n">
        <x:v>33.0655</x:v>
      </x:c>
      <x:c r="G276" s="158" t="n">
        <x:v>7.034500000000001</x:v>
      </x:c>
      <x:c r="H276" s="158" t="n">
        <x:v>1.3032315268907482</x:v>
      </x:c>
      <x:c r="I276" s="157" t="n">
        <x:v>0.041030807607274566</x:v>
      </x:c>
      <x:c r="J276" s="36" t="str">
        <x:v>Leitura real — sequência serpentina</x:v>
      </x:c>
    </x:row>
    <x:row r="277">
      <x:c r="A277" s="40" t="n">
        <x:v>265</x:v>
      </x:c>
      <x:c r="B277" s="41" t="n">
        <x:v>1.45</x:v>
      </x:c>
      <x:c r="C277" s="41" t="n">
        <x:v>1.75</x:v>
      </x:c>
      <x:c r="D277" s="161" t="n">
        <x:v>8.288203368115582</x:v>
      </x:c>
      <x:c r="E277" s="161" t="n">
        <x:v>31.81179663188442</x:v>
      </x:c>
      <x:c r="F277" s="162" t="n">
        <x:v>27.6891</x:v>
      </x:c>
      <x:c r="G277" s="158" t="n">
        <x:v>12.410900000000002</x:v>
      </x:c>
      <x:c r="H277" s="158" t="n">
        <x:v>-4.12269663188442</x:v>
      </x:c>
      <x:c r="I277" s="157" t="n">
        <x:v>-0.12959647264160842</x:v>
      </x:c>
      <x:c r="J277" s="36" t="str">
        <x:v>Leitura real — sequência serpentina</x:v>
      </x:c>
    </x:row>
    <x:row r="278">
      <x:c r="A278" s="40" t="n">
        <x:v>266</x:v>
      </x:c>
      <x:c r="B278" s="41" t="n">
        <x:v>1.7</x:v>
      </x:c>
      <x:c r="C278" s="41" t="n">
        <x:v>1.75</x:v>
      </x:c>
      <x:c r="D278" s="161" t="n">
        <x:v>8.14254239740988</x:v>
      </x:c>
      <x:c r="E278" s="161" t="n">
        <x:v>31.95745760259012</x:v>
      </x:c>
      <x:c r="F278" s="162" t="n">
        <x:v>27.9596</x:v>
      </x:c>
      <x:c r="G278" s="158" t="n">
        <x:v>12.140400000000003</x:v>
      </x:c>
      <x:c r="H278" s="158" t="n">
        <x:v>-3.9978576025901233</x:v>
      </x:c>
      <x:c r="I278" s="157" t="n">
        <x:v>-0.12509936341951372</x:v>
      </x:c>
      <x:c r="J278" s="36" t="str">
        <x:v>Leitura real — sequência serpentina</x:v>
      </x:c>
    </x:row>
    <x:row r="279">
      <x:c r="A279" s="40" t="n">
        <x:v>267</x:v>
      </x:c>
      <x:c r="B279" s="41" t="n">
        <x:v>1.95</x:v>
      </x:c>
      <x:c r="C279" s="41" t="n">
        <x:v>1.75</x:v>
      </x:c>
      <x:c r="D279" s="161" t="n">
        <x:v>7.909529324555869</x:v>
      </x:c>
      <x:c r="E279" s="161" t="n">
        <x:v>32.19047067544413</x:v>
      </x:c>
      <x:c r="F279" s="162" t="n">
        <x:v>32.2772</x:v>
      </x:c>
      <x:c r="G279" s="158" t="n">
        <x:v>7.822800000000001</x:v>
      </x:c>
      <x:c r="H279" s="158" t="n">
        <x:v>0.08672932455586846</x:v>
      </x:c>
      <x:c r="I279" s="157" t="n">
        <x:v>0.002694254626790164</x:v>
      </x:c>
      <x:c r="J279" s="36" t="str">
        <x:v>Leitura real — sequência serpentina</x:v>
      </x:c>
    </x:row>
    <x:row r="280">
      <x:c r="A280" s="40" t="n">
        <x:v>268</x:v>
      </x:c>
      <x:c r="B280" s="41" t="n">
        <x:v>2.2</x:v>
      </x:c>
      <x:c r="C280" s="41" t="n">
        <x:v>1.75</x:v>
      </x:c>
      <x:c r="D280" s="161" t="n">
        <x:v>7.603562763168742</x:v>
      </x:c>
      <x:c r="E280" s="161" t="n">
        <x:v>32.49643723683126</x:v>
      </x:c>
      <x:c r="F280" s="162" t="n">
        <x:v>29.1527</x:v>
      </x:c>
      <x:c r="G280" s="158" t="n">
        <x:v>10.947300000000002</x:v>
      </x:c>
      <x:c r="H280" s="158" t="n">
        <x:v>-3.343737236831263</x:v>
      </x:c>
      <x:c r="I280" s="157" t="n">
        <x:v>-0.10289550243500206</x:v>
      </x:c>
      <x:c r="J280" s="36" t="str">
        <x:v>Leitura real — sequência serpentina</x:v>
      </x:c>
    </x:row>
    <x:row r="281">
      <x:c r="A281" s="40" t="n">
        <x:v>269</x:v>
      </x:c>
      <x:c r="B281" s="41" t="n">
        <x:v>2.45</x:v>
      </x:c>
      <x:c r="C281" s="41" t="n">
        <x:v>1.75</x:v>
      </x:c>
      <x:c r="D281" s="161" t="n">
        <x:v>7.243575324620411</x:v>
      </x:c>
      <x:c r="E281" s="161" t="n">
        <x:v>32.85642467537959</x:v>
      </x:c>
      <x:c r="F281" s="162" t="n">
        <x:v>34.5845</x:v>
      </x:c>
      <x:c r="G281" s="158" t="n">
        <x:v>5.515500000000003</x:v>
      </x:c>
      <x:c r="H281" s="158" t="n">
        <x:v>1.7280753246204057</x:v>
      </x:c>
      <x:c r="I281" s="157" t="n">
        <x:v>0.05259474643676948</x:v>
      </x:c>
      <x:c r="J281" s="36" t="str">
        <x:v>Leitura real — sequência serpentina</x:v>
      </x:c>
    </x:row>
    <x:row r="282">
      <x:c r="A282" s="40" t="n">
        <x:v>270</x:v>
      </x:c>
      <x:c r="B282" s="41" t="n">
        <x:v>2.7</x:v>
      </x:c>
      <x:c r="C282" s="41" t="n">
        <x:v>1.75</x:v>
      </x:c>
      <x:c r="D282" s="161" t="n">
        <x:v>6.850758958393903</x:v>
      </x:c>
      <x:c r="E282" s="161" t="n">
        <x:v>33.2492410416061</x:v>
      </x:c>
      <x:c r="F282" s="162" t="n">
        <x:v>38.1481</x:v>
      </x:c>
      <x:c r="G282" s="158" t="n">
        <x:v>1.951900000000002</x:v>
      </x:c>
      <x:c r="H282" s="158" t="n">
        <x:v>4.898858958393902</x:v>
      </x:c>
      <x:c r="I282" s="157" t="n">
        <x:v>0.14733746710981357</x:v>
      </x:c>
      <x:c r="J282" s="36" t="str">
        <x:v>Leitura real — sequência serpentina</x:v>
      </x:c>
    </x:row>
    <x:row r="283">
      <x:c r="A283" s="40" t="n">
        <x:v>271</x:v>
      </x:c>
      <x:c r="B283" s="41" t="n">
        <x:v>2.95</x:v>
      </x:c>
      <x:c r="C283" s="41" t="n">
        <x:v>1.75</x:v>
      </x:c>
      <x:c r="D283" s="161" t="n">
        <x:v>6.445541604736483</x:v>
      </x:c>
      <x:c r="E283" s="161" t="n">
        <x:v>33.65445839526352</x:v>
      </x:c>
      <x:c r="F283" s="162" t="n">
        <x:v>35.4934</x:v>
      </x:c>
      <x:c r="G283" s="158" t="n">
        <x:v>4.6066</x:v>
      </x:c>
      <x:c r="H283" s="158" t="n">
        <x:v>1.8389416047364833</x:v>
      </x:c>
      <x:c r="I283" s="157" t="n">
        <x:v>0.05464184219334498</x:v>
      </x:c>
      <x:c r="J283" s="36" t="str">
        <x:v>Leitura real — sequência serpentina</x:v>
      </x:c>
    </x:row>
    <x:row r="284">
      <x:c r="A284" s="40" t="n">
        <x:v>272</x:v>
      </x:c>
      <x:c r="B284" s="41" t="n">
        <x:v>3.2</x:v>
      </x:c>
      <x:c r="C284" s="41" t="n">
        <x:v>1.75</x:v>
      </x:c>
      <x:c r="D284" s="161" t="n">
        <x:v>6.0449123593594445</x:v>
      </x:c>
      <x:c r="E284" s="161" t="n">
        <x:v>34.05508764064056</x:v>
      </x:c>
      <x:c r="F284" s="162" t="n">
        <x:v>31.2668</x:v>
      </x:c>
      <x:c r="G284" s="158" t="n">
        <x:v>8.833200000000001</x:v>
      </x:c>
      <x:c r="H284" s="158" t="n">
        <x:v>-2.788287640640558</x:v>
      </x:c>
      <x:c r="I284" s="157" t="n">
        <x:v>-0.0818758028187565</x:v>
      </x:c>
      <x:c r="J284" s="36" t="str">
        <x:v>Leitura real — sequência serpentina</x:v>
      </x:c>
    </x:row>
    <x:row r="285">
      <x:c r="A285" s="40" t="n">
        <x:v>273</x:v>
      </x:c>
      <x:c r="B285" s="41" t="n">
        <x:v>-0.8</x:v>
      </x:c>
      <x:c r="C285" s="41" t="n">
        <x:v>2</x:v>
      </x:c>
      <x:c r="D285" s="161" t="n">
        <x:v>5.642820533255574</x:v>
      </x:c>
      <x:c r="E285" s="161" t="n">
        <x:v>34.45717946674443</x:v>
      </x:c>
      <x:c r="F285" s="162" t="n">
        <x:v>33.5683</x:v>
      </x:c>
      <x:c r="G285" s="158" t="n">
        <x:v>6.531700000000001</x:v>
      </x:c>
      <x:c r="H285" s="158" t="n">
        <x:v>-0.8888794667444273</x:v>
      </x:c>
      <x:c r="I285" s="157" t="n">
        <x:v>-0.025796640366409253</x:v>
      </x:c>
      <x:c r="J285" s="36" t="str">
        <x:v>Leitura real — sequência serpentina</x:v>
      </x:c>
    </x:row>
    <x:row r="286">
      <x:c r="A286" s="40" t="n">
        <x:v>274</x:v>
      </x:c>
      <x:c r="B286" s="41" t="n">
        <x:v>-0.55</x:v>
      </x:c>
      <x:c r="C286" s="41" t="n">
        <x:v>2</x:v>
      </x:c>
      <x:c r="D286" s="161" t="n">
        <x:v>5.966355675412422</x:v>
      </x:c>
      <x:c r="E286" s="161" t="n">
        <x:v>34.13364432458758</x:v>
      </x:c>
      <x:c r="F286" s="162" t="n">
        <x:v>35.1605</x:v>
      </x:c>
      <x:c r="G286" s="158" t="n">
        <x:v>4.9395000000000024</x:v>
      </x:c>
      <x:c r="H286" s="158" t="n">
        <x:v>1.0268556754124205</x:v>
      </x:c>
      <x:c r="I286" s="157" t="n">
        <x:v>0.030083388273684647</x:v>
      </x:c>
      <x:c r="J286" s="36" t="str">
        <x:v>Leitura real — sequência serpentina</x:v>
      </x:c>
    </x:row>
    <x:row r="287">
      <x:c r="A287" s="40" t="n">
        <x:v>275</x:v>
      </x:c>
      <x:c r="B287" s="41" t="n">
        <x:v>-0.30000000000000004</x:v>
      </x:c>
      <x:c r="C287" s="41" t="n">
        <x:v>2</x:v>
      </x:c>
      <x:c r="D287" s="161" t="n">
        <x:v>6.287446611585132</x:v>
      </x:c>
      <x:c r="E287" s="161" t="n">
        <x:v>33.81255338841487</x:v>
      </x:c>
      <x:c r="F287" s="162" t="n">
        <x:v>33.4387</x:v>
      </x:c>
      <x:c r="G287" s="158" t="n">
        <x:v>6.661300000000004</x:v>
      </x:c>
      <x:c r="H287" s="158" t="n">
        <x:v>-0.37385338841487226</x:v>
      </x:c>
      <x:c r="I287" s="157" t="n">
        <x:v>-0.011056644676322046</x:v>
      </x:c>
      <x:c r="J287" s="36" t="str">
        <x:v>Leitura real — sequência serpentina</x:v>
      </x:c>
    </x:row>
    <x:row r="288">
      <x:c r="A288" s="40" t="n">
        <x:v>276</x:v>
      </x:c>
      <x:c r="B288" s="41" t="n">
        <x:v>-0.050000000000000044</x:v>
      </x:c>
      <x:c r="C288" s="41" t="n">
        <x:v>2</x:v>
      </x:c>
      <x:c r="D288" s="161" t="n">
        <x:v>6.5937160504686325</x:v>
      </x:c>
      <x:c r="E288" s="161" t="n">
        <x:v>33.506283949531365</x:v>
      </x:c>
      <x:c r="F288" s="162" t="n">
        <x:v>32.3289</x:v>
      </x:c>
      <x:c r="G288" s="158" t="n">
        <x:v>7.771100000000004</x:v>
      </x:c>
      <x:c r="H288" s="158" t="n">
        <x:v>-1.177383949531368</x:v>
      </x:c>
      <x:c r="I288" s="157" t="n">
        <x:v>-0.03513919810698182</x:v>
      </x:c>
      <x:c r="J288" s="36" t="str">
        <x:v>Leitura real — sequência serpentina</x:v>
      </x:c>
    </x:row>
    <x:row r="289">
      <x:c r="A289" s="40" t="n">
        <x:v>277</x:v>
      </x:c>
      <x:c r="B289" s="41" t="n">
        <x:v>0.19999999999999996</x:v>
      </x:c>
      <x:c r="C289" s="41" t="n">
        <x:v>2</x:v>
      </x:c>
      <x:c r="D289" s="161" t="n">
        <x:v>6.870969665548685</x:v>
      </x:c>
      <x:c r="E289" s="161" t="n">
        <x:v>33.229030334451316</x:v>
      </x:c>
      <x:c r="F289" s="162" t="n">
        <x:v>32.654</x:v>
      </x:c>
      <x:c r="G289" s="158" t="n">
        <x:v>7.445999999999998</x:v>
      </x:c>
      <x:c r="H289" s="158" t="n">
        <x:v>-0.5750303344513128</x:v>
      </x:c>
      <x:c r="I289" s="157" t="n">
        <x:v>-0.01730505912040204</x:v>
      </x:c>
      <x:c r="J289" s="36" t="str">
        <x:v>Leitura real — sequência serpentina</x:v>
      </x:c>
    </x:row>
    <x:row r="290">
      <x:c r="A290" s="40" t="n">
        <x:v>278</x:v>
      </x:c>
      <x:c r="B290" s="41" t="n">
        <x:v>0.44999999999999996</x:v>
      </x:c>
      <x:c r="C290" s="41" t="n">
        <x:v>2</x:v>
      </x:c>
      <x:c r="D290" s="161" t="n">
        <x:v>7.104735329955819</x:v>
      </x:c>
      <x:c r="E290" s="161" t="n">
        <x:v>32.99526467004418</x:v>
      </x:c>
      <x:c r="F290" s="162" t="n">
        <x:v>35.173</x:v>
      </x:c>
      <x:c r="G290" s="158" t="n">
        <x:v>4.927</x:v>
      </x:c>
      <x:c r="H290" s="158" t="n">
        <x:v>2.177735329955823</x:v>
      </x:c>
      <x:c r="I290" s="157" t="n">
        <x:v>0.06600145056369106</x:v>
      </x:c>
      <x:c r="J290" s="36" t="str">
        <x:v>Leitura real — sequência serpentina</x:v>
      </x:c>
    </x:row>
    <x:row r="291">
      <x:c r="A291" s="40" t="n">
        <x:v>279</x:v>
      </x:c>
      <x:c r="B291" s="41" t="n">
        <x:v>0.7</x:v>
      </x:c>
      <x:c r="C291" s="41" t="n">
        <x:v>2</x:v>
      </x:c>
      <x:c r="D291" s="161" t="n">
        <x:v>7.281987279142493</x:v>
      </x:c>
      <x:c r="E291" s="161" t="n">
        <x:v>32.81801272085751</x:v>
      </x:c>
      <x:c r="F291" s="162" t="n">
        <x:v>30.5268</x:v>
      </x:c>
      <x:c r="G291" s="158" t="n">
        <x:v>9.5732</x:v>
      </x:c>
      <x:c r="H291" s="158" t="n">
        <x:v>-2.2912127208575086</x:v>
      </x:c>
      <x:c r="I291" s="157" t="n">
        <x:v>-0.06981570579382848</x:v>
      </x:c>
      <x:c r="J291" s="36" t="str">
        <x:v>Leitura real — sequência serpentina</x:v>
      </x:c>
    </x:row>
    <x:row r="292">
      <x:c r="A292" s="40" t="n">
        <x:v>280</x:v>
      </x:c>
      <x:c r="B292" s="41" t="n">
        <x:v>0.95</x:v>
      </x:c>
      <x:c r="C292" s="41" t="n">
        <x:v>2</x:v>
      </x:c>
      <x:c r="D292" s="161" t="n">
        <x:v>7.392583316439268</x:v>
      </x:c>
      <x:c r="E292" s="161" t="n">
        <x:v>32.70741668356074</x:v>
      </x:c>
      <x:c r="F292" s="162" t="n">
        <x:v>35.3136</x:v>
      </x:c>
      <x:c r="G292" s="158" t="n">
        <x:v>4.7864</x:v>
      </x:c>
      <x:c r="H292" s="158" t="n">
        <x:v>2.606183316439264</x:v>
      </x:c>
      <x:c r="I292" s="157" t="n">
        <x:v>0.07968172300654892</x:v>
      </x:c>
      <x:c r="J292" s="36" t="str">
        <x:v>Leitura real — sequência serpentina</x:v>
      </x:c>
    </x:row>
    <x:row r="293">
      <x:c r="A293" s="40" t="n">
        <x:v>281</x:v>
      </x:c>
      <x:c r="B293" s="41" t="n">
        <x:v>1.2</x:v>
      </x:c>
      <x:c r="C293" s="41" t="n">
        <x:v>2</x:v>
      </x:c>
      <x:c r="D293" s="161" t="n">
        <x:v>7.4301669781056034</x:v>
      </x:c>
      <x:c r="E293" s="161" t="n">
        <x:v>32.6698330218944</x:v>
      </x:c>
      <x:c r="F293" s="162" t="n">
        <x:v>36.0496</x:v>
      </x:c>
      <x:c r="G293" s="158" t="n">
        <x:v>4.050400000000003</x:v>
      </x:c>
      <x:c r="H293" s="158" t="n">
        <x:v>3.3797669781056</x:v>
      </x:c>
      <x:c r="I293" s="157" t="n">
        <x:v>0.10345222688590346</x:v>
      </x:c>
      <x:c r="J293" s="36" t="str">
        <x:v>Leitura real — sequência serpentina</x:v>
      </x:c>
    </x:row>
    <x:row r="294">
      <x:c r="A294" s="40" t="n">
        <x:v>282</x:v>
      </x:c>
      <x:c r="B294" s="41" t="n">
        <x:v>1.45</x:v>
      </x:c>
      <x:c r="C294" s="41" t="n">
        <x:v>2</x:v>
      </x:c>
      <x:c r="D294" s="161" t="n">
        <x:v>7.392583316439268</x:v>
      </x:c>
      <x:c r="E294" s="161" t="n">
        <x:v>32.70741668356074</x:v>
      </x:c>
      <x:c r="F294" s="162" t="n">
        <x:v>32.8805</x:v>
      </x:c>
      <x:c r="G294" s="158" t="n">
        <x:v>7.219500000000004</x:v>
      </x:c>
      <x:c r="H294" s="158" t="n">
        <x:v>0.17308331643926067</x:v>
      </x:c>
      <x:c r="I294" s="157" t="n">
        <x:v>0.005291867533098542</x:v>
      </x:c>
      <x:c r="J294" s="36" t="str">
        <x:v>Leitura real — sequência serpentina</x:v>
      </x:c>
    </x:row>
    <x:row r="295">
      <x:c r="A295" s="40" t="n">
        <x:v>283</x:v>
      </x:c>
      <x:c r="B295" s="41" t="n">
        <x:v>1.7</x:v>
      </x:c>
      <x:c r="C295" s="41" t="n">
        <x:v>2</x:v>
      </x:c>
      <x:c r="D295" s="161" t="n">
        <x:v>7.281987279142493</x:v>
      </x:c>
      <x:c r="E295" s="161" t="n">
        <x:v>32.81801272085751</x:v>
      </x:c>
      <x:c r="F295" s="162" t="n">
        <x:v>33.5099</x:v>
      </x:c>
      <x:c r="G295" s="158" t="n">
        <x:v>6.5901</x:v>
      </x:c>
      <x:c r="H295" s="158" t="n">
        <x:v>0.6918872791424917</x:v>
      </x:c>
      <x:c r="I295" s="157" t="n">
        <x:v>0.021082546497483753</x:v>
      </x:c>
      <x:c r="J295" s="36" t="str">
        <x:v>Leitura real — sequência serpentina</x:v>
      </x:c>
    </x:row>
    <x:row r="296">
      <x:c r="A296" s="40" t="n">
        <x:v>284</x:v>
      </x:c>
      <x:c r="B296" s="41" t="n">
        <x:v>1.95</x:v>
      </x:c>
      <x:c r="C296" s="41" t="n">
        <x:v>2</x:v>
      </x:c>
      <x:c r="D296" s="161" t="n">
        <x:v>7.104735329955819</x:v>
      </x:c>
      <x:c r="E296" s="161" t="n">
        <x:v>32.99526467004418</x:v>
      </x:c>
      <x:c r="F296" s="162" t="n">
        <x:v>29.944</x:v>
      </x:c>
      <x:c r="G296" s="158" t="n">
        <x:v>10.156000000000002</x:v>
      </x:c>
      <x:c r="H296" s="158" t="n">
        <x:v>-3.05126467004418</x:v>
      </x:c>
      <x:c r="I296" s="157" t="n">
        <x:v>-0.09247583556480363</x:v>
      </x:c>
      <x:c r="J296" s="36" t="str">
        <x:v>Leitura real — sequência serpentina</x:v>
      </x:c>
    </x:row>
    <x:row r="297">
      <x:c r="A297" s="40" t="n">
        <x:v>285</x:v>
      </x:c>
      <x:c r="B297" s="41" t="n">
        <x:v>2.2</x:v>
      </x:c>
      <x:c r="C297" s="41" t="n">
        <x:v>2</x:v>
      </x:c>
      <x:c r="D297" s="161" t="n">
        <x:v>6.870969665548683</x:v>
      </x:c>
      <x:c r="E297" s="161" t="n">
        <x:v>33.229030334451316</x:v>
      </x:c>
      <x:c r="F297" s="162" t="n">
        <x:v>38.7815</x:v>
      </x:c>
      <x:c r="G297" s="158" t="n">
        <x:v>1.3185000000000002</x:v>
      </x:c>
      <x:c r="H297" s="158" t="n">
        <x:v>5.552469665548685</x:v>
      </x:c>
      <x:c r="I297" s="157" t="n">
        <x:v>0.1670969513603885</x:v>
      </x:c>
      <x:c r="J297" s="36" t="str">
        <x:v>Leitura real — sequência serpentina</x:v>
      </x:c>
    </x:row>
    <x:row r="298">
      <x:c r="A298" s="40" t="n">
        <x:v>286</x:v>
      </x:c>
      <x:c r="B298" s="41" t="n">
        <x:v>2.45</x:v>
      </x:c>
      <x:c r="C298" s="41" t="n">
        <x:v>2</x:v>
      </x:c>
      <x:c r="D298" s="161" t="n">
        <x:v>6.593716050468632</x:v>
      </x:c>
      <x:c r="E298" s="161" t="n">
        <x:v>33.50628394953137</x:v>
      </x:c>
      <x:c r="F298" s="162" t="n">
        <x:v>35.9564</x:v>
      </x:c>
      <x:c r="G298" s="158" t="n">
        <x:v>4.143599999999999</x:v>
      </x:c>
      <x:c r="H298" s="158" t="n">
        <x:v>2.4501160504686297</x:v>
      </x:c>
      <x:c r="I298" s="157" t="n">
        <x:v>0.07312407589451285</x:v>
      </x:c>
      <x:c r="J298" s="36" t="str">
        <x:v>Leitura real — sequência serpentina</x:v>
      </x:c>
    </x:row>
    <x:row r="299">
      <x:c r="A299" s="40" t="n">
        <x:v>287</x:v>
      </x:c>
      <x:c r="B299" s="41" t="n">
        <x:v>2.7</x:v>
      </x:c>
      <x:c r="C299" s="41" t="n">
        <x:v>2</x:v>
      </x:c>
      <x:c r="D299" s="161" t="n">
        <x:v>6.287446611585132</x:v>
      </x:c>
      <x:c r="E299" s="161" t="n">
        <x:v>33.81255338841487</x:v>
      </x:c>
      <x:c r="F299" s="162" t="n">
        <x:v>34.4418</x:v>
      </x:c>
      <x:c r="G299" s="158" t="n">
        <x:v>5.658200000000001</x:v>
      </x:c>
      <x:c r="H299" s="158" t="n">
        <x:v>0.6292466115851312</x:v>
      </x:c>
      <x:c r="I299" s="157" t="n">
        <x:v>0.01860985191969349</x:v>
      </x:c>
      <x:c r="J299" s="36" t="str">
        <x:v>Leitura real — sequência serpentina</x:v>
      </x:c>
    </x:row>
    <x:row r="300">
      <x:c r="A300" s="40" t="n">
        <x:v>288</x:v>
      </x:c>
      <x:c r="B300" s="41" t="n">
        <x:v>2.95</x:v>
      </x:c>
      <x:c r="C300" s="41" t="n">
        <x:v>2</x:v>
      </x:c>
      <x:c r="D300" s="161" t="n">
        <x:v>5.966355675412421</x:v>
      </x:c>
      <x:c r="E300" s="161" t="n">
        <x:v>34.13364432458758</x:v>
      </x:c>
      <x:c r="F300" s="162" t="n">
        <x:v>34.528</x:v>
      </x:c>
      <x:c r="G300" s="158" t="n">
        <x:v>5.572000000000003</x:v>
      </x:c>
      <x:c r="H300" s="158" t="n">
        <x:v>0.3943556754124202</x:v>
      </x:c>
      <x:c r="I300" s="157" t="n">
        <x:v>0.011553283665300073</x:v>
      </x:c>
      <x:c r="J300" s="36" t="str">
        <x:v>Leitura real — sequência serpentina</x:v>
      </x:c>
    </x:row>
    <x:row r="301">
      <x:c r="A301" s="40" t="n">
        <x:v>289</x:v>
      </x:c>
      <x:c r="B301" s="41" t="n">
        <x:v>3.2</x:v>
      </x:c>
      <x:c r="C301" s="41" t="n">
        <x:v>2</x:v>
      </x:c>
      <x:c r="D301" s="161" t="n">
        <x:v>5.642820533255573</x:v>
      </x:c>
      <x:c r="E301" s="161" t="n">
        <x:v>34.45717946674443</x:v>
      </x:c>
      <x:c r="F301" s="162" t="n">
        <x:v>35.8141</x:v>
      </x:c>
      <x:c r="G301" s="158" t="n">
        <x:v>4.285899999999998</x:v>
      </x:c>
      <x:c r="H301" s="158" t="n">
        <x:v>1.3569205332555754</x:v>
      </x:c>
      <x:c r="I301" s="157" t="n">
        <x:v>0.03937990730103654</x:v>
      </x:c>
      <x:c r="J301" s="36" t="str">
        <x:v>Leitura real — sequência serpentina</x:v>
      </x:c>
    </x:row>
  </x:sheetData>
  <x:mergeCells>
    <x:mergeCell ref="A1:J1"/>
    <x:mergeCell ref="A2:J2"/>
  </x:mergeCells>
  <x:conditionalFormatting sqref="I13:I301">
    <x:cfRule type="colorScale" priority="1">
      <x:colorScale>
        <x:cfvo type="min"/>
        <x:cfvo type="num" val="0"/>
        <x:cfvo type="max"/>
        <x:color rgb="FF5B9BD5"/>
        <x:color rgb="FFFFF2CC"/>
        <x:color rgb="FFF8696B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9" hidden="0" customWidth="1"/>
    <x:col min="2" max="2" width="8.5" hidden="0" customWidth="1"/>
    <x:col min="3" max="3" width="8.5" hidden="0" customWidth="1"/>
    <x:col min="4" max="4" width="8.5" hidden="0" customWidth="1"/>
    <x:col min="5" max="5" width="8.5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  <x:col min="13" max="13" width="8.5" hidden="0" customWidth="1"/>
    <x:col min="14" max="14" width="8.5" hidden="0" customWidth="1"/>
    <x:col min="15" max="15" width="8.5" hidden="0" customWidth="1"/>
    <x:col min="16" max="16" width="8.5" hidden="0" customWidth="1"/>
    <x:col min="17" max="17" width="8.5" hidden="0" customWidth="1"/>
    <x:col min="18" max="18" width="8.5" hidden="0" customWidth="1"/>
  </x:cols>
  <x:sheetData>
    <x:row r="1">
      <x:c r="A1" s="138" t="str">
        <x:v>MATRIZ IDEAL — R_MTR ESPERADA (Ω)</x:v>
      </x:c>
      <x:c r="B1" s="138"/>
      <x:c r="C1" s="138"/>
      <x:c r="D1" s="138"/>
      <x:c r="E1" s="138"/>
      <x:c r="F1" s="138"/>
      <x:c r="G1" s="138"/>
      <x:c r="H1" s="138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</x:row>
    <x:row r="3">
      <x:c r="A3" s="147" t="str">
        <x:v>y \ x</x:v>
      </x:c>
      <x:c r="B3" s="147" t="n">
        <x:v>-0.8</x:v>
      </x:c>
      <x:c r="C3" s="147" t="n">
        <x:v>-0.55</x:v>
      </x:c>
      <x:c r="D3" s="147" t="n">
        <x:v>-0.30000000000000004</x:v>
      </x:c>
      <x:c r="E3" s="147" t="n">
        <x:v>-0.050000000000000044</x:v>
      </x:c>
      <x:c r="F3" s="147" t="n">
        <x:v>0.19999999999999996</x:v>
      </x:c>
      <x:c r="G3" s="147" t="n">
        <x:v>0.44999999999999996</x:v>
      </x:c>
      <x:c r="H3" s="147" t="n">
        <x:v>0.7</x:v>
      </x:c>
      <x:c r="I3" s="147" t="n">
        <x:v>0.95</x:v>
      </x:c>
      <x:c r="J3" s="147" t="n">
        <x:v>1.2</x:v>
      </x:c>
      <x:c r="K3" s="147" t="n">
        <x:v>1.45</x:v>
      </x:c>
      <x:c r="L3" s="147" t="n">
        <x:v>1.7</x:v>
      </x:c>
      <x:c r="M3" s="147" t="n">
        <x:v>1.95</x:v>
      </x:c>
      <x:c r="N3" s="147" t="n">
        <x:v>2.2</x:v>
      </x:c>
      <x:c r="O3" s="147" t="n">
        <x:v>2.45</x:v>
      </x:c>
      <x:c r="P3" s="147" t="n">
        <x:v>2.7</x:v>
      </x:c>
      <x:c r="Q3" s="147" t="n">
        <x:v>2.95</x:v>
      </x:c>
      <x:c r="R3" s="147" t="n">
        <x:v>3.2</x:v>
      </x:c>
    </x:row>
    <x:row r="4">
      <x:c r="A4" s="166" t="n">
        <x:v>2</x:v>
      </x:c>
      <x:c r="B4" s="57" t="n">
        <x:v>34.45717946674443</x:v>
      </x:c>
      <x:c r="C4" s="57" t="n">
        <x:v>34.13364432458758</x:v>
      </x:c>
      <x:c r="D4" s="57" t="n">
        <x:v>33.81255338841487</x:v>
      </x:c>
      <x:c r="E4" s="57" t="n">
        <x:v>33.506283949531365</x:v>
      </x:c>
      <x:c r="F4" s="57" t="n">
        <x:v>33.229030334451316</x:v>
      </x:c>
      <x:c r="G4" s="57" t="n">
        <x:v>32.99526467004418</x:v>
      </x:c>
      <x:c r="H4" s="57" t="n">
        <x:v>32.81801272085751</x:v>
      </x:c>
      <x:c r="I4" s="57" t="n">
        <x:v>32.70741668356074</x:v>
      </x:c>
      <x:c r="J4" s="57" t="n">
        <x:v>32.6698330218944</x:v>
      </x:c>
      <x:c r="K4" s="57" t="n">
        <x:v>32.70741668356074</x:v>
      </x:c>
      <x:c r="L4" s="57" t="n">
        <x:v>32.81801272085751</x:v>
      </x:c>
      <x:c r="M4" s="57" t="n">
        <x:v>32.99526467004418</x:v>
      </x:c>
      <x:c r="N4" s="57" t="n">
        <x:v>33.229030334451316</x:v>
      </x:c>
      <x:c r="O4" s="57" t="n">
        <x:v>33.50628394953137</x:v>
      </x:c>
      <x:c r="P4" s="57" t="n">
        <x:v>33.81255338841487</x:v>
      </x:c>
      <x:c r="Q4" s="57" t="n">
        <x:v>34.13364432458758</x:v>
      </x:c>
      <x:c r="R4" s="57" t="n">
        <x:v>34.45717946674443</x:v>
      </x:c>
    </x:row>
    <x:row r="5">
      <x:c r="A5" s="166" t="n">
        <x:v>1.75</x:v>
      </x:c>
      <x:c r="B5" s="57" t="n">
        <x:v>34.05508764064056</x:v>
      </x:c>
      <x:c r="C5" s="57" t="n">
        <x:v>33.65445839526352</x:v>
      </x:c>
      <x:c r="D5" s="57" t="n">
        <x:v>33.2492410416061</x:v>
      </x:c>
      <x:c r="E5" s="57" t="n">
        <x:v>32.85642467537959</x:v>
      </x:c>
      <x:c r="F5" s="57" t="n">
        <x:v>32.49643723683126</x:v>
      </x:c>
      <x:c r="G5" s="57" t="n">
        <x:v>32.19047067544413</x:v>
      </x:c>
      <x:c r="H5" s="57" t="n">
        <x:v>31.95745760259012</x:v>
      </x:c>
      <x:c r="I5" s="57" t="n">
        <x:v>31.81179663188442</x:v>
      </x:c>
      <x:c r="J5" s="57" t="n">
        <x:v>31.762268473109252</x:v>
      </x:c>
      <x:c r="K5" s="57" t="n">
        <x:v>31.81179663188442</x:v>
      </x:c>
      <x:c r="L5" s="57" t="n">
        <x:v>31.95745760259012</x:v>
      </x:c>
      <x:c r="M5" s="57" t="n">
        <x:v>32.19047067544413</x:v>
      </x:c>
      <x:c r="N5" s="57" t="n">
        <x:v>32.49643723683126</x:v>
      </x:c>
      <x:c r="O5" s="57" t="n">
        <x:v>32.85642467537959</x:v>
      </x:c>
      <x:c r="P5" s="57" t="n">
        <x:v>33.2492410416061</x:v>
      </x:c>
      <x:c r="Q5" s="57" t="n">
        <x:v>33.65445839526352</x:v>
      </x:c>
      <x:c r="R5" s="57" t="n">
        <x:v>34.05508764064056</x:v>
      </x:c>
    </x:row>
    <x:row r="6">
      <x:c r="A6" s="166" t="n">
        <x:v>1.5</x:v>
      </x:c>
      <x:c r="B6" s="57" t="n">
        <x:v>33.61465903533348</x:v>
      </x:c>
      <x:c r="C6" s="57" t="n">
        <x:v>33.11370653564775</x:v>
      </x:c>
      <x:c r="D6" s="57" t="n">
        <x:v>32.594943659484386</x:v>
      </x:c>
      <x:c r="E6" s="57" t="n">
        <x:v>32.08206128878675</x:v>
      </x:c>
      <x:c r="F6" s="57" t="n">
        <x:v>31.605508997654944</x:v>
      </x:c>
      <x:c r="G6" s="57" t="n">
        <x:v>31.197446567285507</x:v>
      </x:c>
      <x:c r="H6" s="57" t="n">
        <x:v>30.885946820513627</x:v>
      </x:c>
      <x:c r="I6" s="57" t="n">
        <x:v>30.691294956070955</x:v>
      </x:c>
      <x:c r="J6" s="57" t="n">
        <x:v>30.625164733362716</x:v>
      </x:c>
      <x:c r="K6" s="57" t="n">
        <x:v>30.691294956070955</x:v>
      </x:c>
      <x:c r="L6" s="57" t="n">
        <x:v>30.885946820513627</x:v>
      </x:c>
      <x:c r="M6" s="57" t="n">
        <x:v>31.197446567285507</x:v>
      </x:c>
      <x:c r="N6" s="57" t="n">
        <x:v>31.605508997654944</x:v>
      </x:c>
      <x:c r="O6" s="57" t="n">
        <x:v>32.08206128878675</x:v>
      </x:c>
      <x:c r="P6" s="57" t="n">
        <x:v>32.594943659484386</x:v>
      </x:c>
      <x:c r="Q6" s="57" t="n">
        <x:v>33.11370653564775</x:v>
      </x:c>
      <x:c r="R6" s="57" t="n">
        <x:v>33.61465903533348</x:v>
      </x:c>
    </x:row>
    <x:row r="7">
      <x:c r="A7" s="166" t="n">
        <x:v>1.25</x:v>
      </x:c>
      <x:c r="B7" s="57" t="n">
        <x:v>33.13854775630139</x:v>
      </x:c>
      <x:c r="C7" s="57" t="n">
        <x:v>32.50627272700096</x:v>
      </x:c>
      <x:c r="D7" s="57" t="n">
        <x:v>31.83141860437881</x:v>
      </x:c>
      <x:c r="E7" s="57" t="n">
        <x:v>31.147431544479602</x:v>
      </x:c>
      <x:c r="F7" s="57" t="n">
        <x:v>30.501952895623987</x:v>
      </x:c>
      <x:c r="G7" s="57" t="n">
        <x:v>29.94631440676787</x:v>
      </x:c>
      <x:c r="H7" s="57" t="n">
        <x:v>29.523074565770948</x:v>
      </x:c>
      <x:c r="I7" s="57" t="n">
        <x:v>29.259895662921004</x:v>
      </x:c>
      <x:c r="J7" s="57" t="n">
        <x:v>29.170802830017898</x:v>
      </x:c>
      <x:c r="K7" s="57" t="n">
        <x:v>29.259895662921004</x:v>
      </x:c>
      <x:c r="L7" s="57" t="n">
        <x:v>29.523074565770948</x:v>
      </x:c>
      <x:c r="M7" s="57" t="n">
        <x:v>29.94631440676787</x:v>
      </x:c>
      <x:c r="N7" s="57" t="n">
        <x:v>30.501952895623987</x:v>
      </x:c>
      <x:c r="O7" s="57" t="n">
        <x:v>31.147431544479602</x:v>
      </x:c>
      <x:c r="P7" s="57" t="n">
        <x:v>31.83141860437881</x:v>
      </x:c>
      <x:c r="Q7" s="57" t="n">
        <x:v>32.50627272700096</x:v>
      </x:c>
      <x:c r="R7" s="57" t="n">
        <x:v>33.13854775630139</x:v>
      </x:c>
    </x:row>
    <x:row r="8">
      <x:c r="A8" s="166" t="n">
        <x:v>1</x:v>
      </x:c>
      <x:c r="B8" s="57" t="n">
        <x:v>32.63673524461406</x:v>
      </x:c>
      <x:c r="C8" s="57" t="n">
        <x:v>31.83291800694279</x:v>
      </x:c>
      <x:c r="D8" s="57" t="n">
        <x:v>30.939564075920565</x:v>
      </x:c>
      <x:c r="E8" s="57" t="n">
        <x:v>30.00354389069765</x:v>
      </x:c>
      <x:c r="F8" s="57" t="n">
        <x:v>29.104523913299438</x:v>
      </x:c>
      <x:c r="G8" s="57" t="n">
        <x:v>28.330655201730885</x:v>
      </x:c>
      <x:c r="H8" s="57" t="n">
        <x:v>27.74783951496232</x:v>
      </x:c>
      <x:c r="I8" s="57" t="n">
        <x:v>27.39021747588185</x:v>
      </x:c>
      <x:c r="J8" s="57" t="n">
        <x:v>27.27014768882099</x:v>
      </x:c>
      <x:c r="K8" s="57" t="n">
        <x:v>27.39021747588185</x:v>
      </x:c>
      <x:c r="L8" s="57" t="n">
        <x:v>27.74783951496232</x:v>
      </x:c>
      <x:c r="M8" s="57" t="n">
        <x:v>28.330655201730885</x:v>
      </x:c>
      <x:c r="N8" s="57" t="n">
        <x:v>29.104523913299438</x:v>
      </x:c>
      <x:c r="O8" s="57" t="n">
        <x:v>30.00354389069765</x:v>
      </x:c>
      <x:c r="P8" s="57" t="n">
        <x:v>30.939564075920565</x:v>
      </x:c>
      <x:c r="Q8" s="57" t="n">
        <x:v>31.83291800694279</x:v>
      </x:c>
      <x:c r="R8" s="57" t="n">
        <x:v>32.63673524461406</x:v>
      </x:c>
    </x:row>
    <x:row r="9">
      <x:c r="A9" s="166" t="n">
        <x:v>0.75</x:v>
      </x:c>
      <x:c r="B9" s="57" t="n">
        <x:v>32.13314627770683</x:v>
      </x:c>
      <x:c r="C9" s="57" t="n">
        <x:v>31.110417645937677</x:v>
      </x:c>
      <x:c r="D9" s="57" t="n">
        <x:v>29.90819824561528</x:v>
      </x:c>
      <x:c r="E9" s="57" t="n">
        <x:v>28.58657726407555</x:v>
      </x:c>
      <x:c r="F9" s="57" t="n">
        <x:v>27.290625000243118</x:v>
      </x:c>
      <x:c r="G9" s="57" t="n">
        <x:v>26.188157672781085</x:v>
      </x:c>
      <x:c r="H9" s="57" t="n">
        <x:v>25.381445175259348</x:v>
      </x:c>
      <x:c r="I9" s="57" t="n">
        <x:v>24.899629221762254</x:v>
      </x:c>
      <x:c r="J9" s="57" t="n">
        <x:v>24.7402859872442</x:v>
      </x:c>
      <x:c r="K9" s="57" t="n">
        <x:v>24.899629221762254</x:v>
      </x:c>
      <x:c r="L9" s="57" t="n">
        <x:v>25.381445175259348</x:v>
      </x:c>
      <x:c r="M9" s="57" t="n">
        <x:v>26.188157672781085</x:v>
      </x:c>
      <x:c r="N9" s="57" t="n">
        <x:v>27.290625000243118</x:v>
      </x:c>
      <x:c r="O9" s="57" t="n">
        <x:v>28.586577264075554</x:v>
      </x:c>
      <x:c r="P9" s="57" t="n">
        <x:v>29.90819824561528</x:v>
      </x:c>
      <x:c r="Q9" s="57" t="n">
        <x:v>31.110417645937677</x:v>
      </x:c>
      <x:c r="R9" s="57" t="n">
        <x:v>32.13314627770683</x:v>
      </x:c>
    </x:row>
    <x:row r="10">
      <x:c r="A10" s="166" t="n">
        <x:v>0.5</x:v>
      </x:c>
      <x:c r="B10" s="57" t="n">
        <x:v>31.67519403756537</x:v>
      </x:c>
      <x:c r="C10" s="57" t="n">
        <x:v>30.394304383911795</x:v>
      </x:c>
      <x:c r="D10" s="57" t="n">
        <x:v>28.76766555835067</x:v>
      </x:c>
      <x:c r="E10" s="57" t="n">
        <x:v>26.840603760040246</x:v>
      </x:c>
      <x:c r="F10" s="57" t="n">
        <x:v>24.900377541890187</x:v>
      </x:c>
      <x:c r="G10" s="57" t="n">
        <x:v>23.308708384511768</x:v>
      </x:c>
      <x:c r="H10" s="57" t="n">
        <x:v>22.20975972183426</x:v>
      </x:c>
      <x:c r="I10" s="57" t="n">
        <x:v>21.582078350424506</x:v>
      </x:c>
      <x:c r="J10" s="57" t="n">
        <x:v>21.379050352731884</x:v>
      </x:c>
      <x:c r="K10" s="57" t="n">
        <x:v>21.582078350424506</x:v>
      </x:c>
      <x:c r="L10" s="57" t="n">
        <x:v>22.20975972183426</x:v>
      </x:c>
      <x:c r="M10" s="57" t="n">
        <x:v>23.308708384511768</x:v>
      </x:c>
      <x:c r="N10" s="57" t="n">
        <x:v>24.900377541890194</x:v>
      </x:c>
      <x:c r="O10" s="57" t="n">
        <x:v>26.840603760040246</x:v>
      </x:c>
      <x:c r="P10" s="57" t="n">
        <x:v>28.76766555835067</x:v>
      </x:c>
      <x:c r="Q10" s="57" t="n">
        <x:v>30.394304383911802</x:v>
      </x:c>
      <x:c r="R10" s="57" t="n">
        <x:v>31.67519403756537</x:v>
      </x:c>
    </x:row>
    <x:row r="11">
      <x:c r="A11" s="166" t="n">
        <x:v>0.25</x:v>
      </x:c>
      <x:c r="B11" s="57" t="n">
        <x:v>31.339677061436248</x:v>
      </x:c>
      <x:c r="C11" s="57" t="n">
        <x:v>29.816256604771738</x:v>
      </x:c>
      <x:c r="D11" s="57" t="n">
        <x:v>27.699482571039916</x:v>
      </x:c>
      <x:c r="E11" s="57" t="n">
        <x:v>24.901227586401426</x:v>
      </x:c>
      <x:c r="F11" s="57" t="n">
        <x:v>21.98226015787478</x:v>
      </x:c>
      <x:c r="G11" s="57" t="n">
        <x:v>19.762018273606056</x:v>
      </x:c>
      <x:c r="H11" s="57" t="n">
        <x:v>18.358760987944965</x:v>
      </x:c>
      <x:c r="I11" s="57" t="n">
        <x:v>17.599032745305067</x:v>
      </x:c>
      <x:c r="J11" s="57" t="n">
        <x:v>17.358917243256503</x:v>
      </x:c>
      <x:c r="K11" s="57" t="n">
        <x:v>17.599032745305067</x:v>
      </x:c>
      <x:c r="L11" s="57" t="n">
        <x:v>18.358760987944965</x:v>
      </x:c>
      <x:c r="M11" s="57" t="n">
        <x:v>19.762018273606056</x:v>
      </x:c>
      <x:c r="N11" s="57" t="n">
        <x:v>21.982260157874784</x:v>
      </x:c>
      <x:c r="O11" s="57" t="n">
        <x:v>24.901227586401433</x:v>
      </x:c>
      <x:c r="P11" s="57" t="n">
        <x:v>27.699482571039916</x:v>
      </x:c>
      <x:c r="Q11" s="57" t="n">
        <x:v>29.81625660477174</x:v>
      </x:c>
      <x:c r="R11" s="57" t="n">
        <x:v>31.339677061436248</x:v>
      </x:c>
    </x:row>
    <x:row r="12">
      <x:c r="A12" s="166" t="n">
        <x:v>0</x:v>
      </x:c>
      <x:c r="B12" s="57" t="n">
        <x:v>31.2139459727159</x:v>
      </x:c>
      <x:c r="C12" s="57" t="n">
        <x:v>29.58336904747578</x:v>
      </x:c>
      <x:c r="D12" s="57" t="n">
        <x:v>27.20695451994593</x:v>
      </x:c>
      <x:c r="E12" s="57" t="n">
        <x:v>23.823662117188558</x:v>
      </x:c>
      <x:c r="F12" s="57" t="n">
        <x:v>20.20543554062844</x:v>
      </x:c>
      <x:c r="G12" s="57" t="n">
        <x:v>17.616555265823106</x:v>
      </x:c>
      <x:c r="H12" s="57" t="n">
        <x:v>16.068392824024404</x:v>
      </x:c>
      <x:c r="I12" s="57" t="n">
        <x:v>15.252634361705873</x:v>
      </x:c>
      <x:c r="J12" s="57" t="n">
        <x:v>14.997509687213448</x:v>
      </x:c>
      <x:c r="K12" s="57" t="n">
        <x:v>15.252634361705873</x:v>
      </x:c>
      <x:c r="L12" s="57" t="n">
        <x:v>16.068392824024404</x:v>
      </x:c>
      <x:c r="M12" s="57" t="n">
        <x:v>17.616555265823106</x:v>
      </x:c>
      <x:c r="N12" s="57" t="n">
        <x:v>20.205435540628443</x:v>
      </x:c>
      <x:c r="O12" s="57" t="n">
        <x:v>23.823662117188565</x:v>
      </x:c>
      <x:c r="P12" s="57" t="n">
        <x:v>27.20695451994593</x:v>
      </x:c>
      <x:c r="Q12" s="57" t="n">
        <x:v>29.583369047475784</x:v>
      </x:c>
      <x:c r="R12" s="57" t="n">
        <x:v>31.213945972715905</x:v>
      </x:c>
    </x:row>
    <x:row r="13">
      <x:c r="A13" s="166" t="n">
        <x:v>-0.25</x:v>
      </x:c>
      <x:c r="B13" s="57" t="n">
        <x:v>31.339677061436248</x:v>
      </x:c>
      <x:c r="C13" s="57" t="n">
        <x:v>29.816256604771738</x:v>
      </x:c>
      <x:c r="D13" s="57" t="n">
        <x:v>27.699482571039916</x:v>
      </x:c>
      <x:c r="E13" s="57" t="n">
        <x:v>24.901227586401426</x:v>
      </x:c>
      <x:c r="F13" s="57" t="n">
        <x:v>21.98226015787478</x:v>
      </x:c>
      <x:c r="G13" s="57" t="n">
        <x:v>19.762018273606056</x:v>
      </x:c>
      <x:c r="H13" s="57" t="n">
        <x:v>18.358760987944965</x:v>
      </x:c>
      <x:c r="I13" s="57" t="n">
        <x:v>17.599032745305067</x:v>
      </x:c>
      <x:c r="J13" s="57" t="n">
        <x:v>17.358917243256503</x:v>
      </x:c>
      <x:c r="K13" s="57" t="n">
        <x:v>17.599032745305067</x:v>
      </x:c>
      <x:c r="L13" s="57" t="n">
        <x:v>18.358760987944965</x:v>
      </x:c>
      <x:c r="M13" s="57" t="n">
        <x:v>19.762018273606056</x:v>
      </x:c>
      <x:c r="N13" s="57" t="n">
        <x:v>21.982260157874784</x:v>
      </x:c>
      <x:c r="O13" s="57" t="n">
        <x:v>24.901227586401433</x:v>
      </x:c>
      <x:c r="P13" s="57" t="n">
        <x:v>27.699482571039916</x:v>
      </x:c>
      <x:c r="Q13" s="57" t="n">
        <x:v>29.81625660477174</x:v>
      </x:c>
      <x:c r="R13" s="57" t="n">
        <x:v>31.339677061436248</x:v>
      </x:c>
    </x:row>
    <x:row r="14">
      <x:c r="A14" s="166" t="n">
        <x:v>-0.5</x:v>
      </x:c>
      <x:c r="B14" s="57" t="n">
        <x:v>31.67519403756537</x:v>
      </x:c>
      <x:c r="C14" s="57" t="n">
        <x:v>30.394304383911795</x:v>
      </x:c>
      <x:c r="D14" s="57" t="n">
        <x:v>28.76766555835067</x:v>
      </x:c>
      <x:c r="E14" s="57" t="n">
        <x:v>26.840603760040246</x:v>
      </x:c>
      <x:c r="F14" s="57" t="n">
        <x:v>24.900377541890187</x:v>
      </x:c>
      <x:c r="G14" s="57" t="n">
        <x:v>23.308708384511768</x:v>
      </x:c>
      <x:c r="H14" s="57" t="n">
        <x:v>22.20975972183426</x:v>
      </x:c>
      <x:c r="I14" s="57" t="n">
        <x:v>21.582078350424506</x:v>
      </x:c>
      <x:c r="J14" s="57" t="n">
        <x:v>21.379050352731884</x:v>
      </x:c>
      <x:c r="K14" s="57" t="n">
        <x:v>21.582078350424506</x:v>
      </x:c>
      <x:c r="L14" s="57" t="n">
        <x:v>22.20975972183426</x:v>
      </x:c>
      <x:c r="M14" s="57" t="n">
        <x:v>23.308708384511768</x:v>
      </x:c>
      <x:c r="N14" s="57" t="n">
        <x:v>24.900377541890194</x:v>
      </x:c>
      <x:c r="O14" s="57" t="n">
        <x:v>26.840603760040246</x:v>
      </x:c>
      <x:c r="P14" s="57" t="n">
        <x:v>28.76766555835067</x:v>
      </x:c>
      <x:c r="Q14" s="57" t="n">
        <x:v>30.394304383911802</x:v>
      </x:c>
      <x:c r="R14" s="57" t="n">
        <x:v>31.67519403756537</x:v>
      </x:c>
    </x:row>
    <x:row r="15">
      <x:c r="A15" s="166" t="n">
        <x:v>-0.75</x:v>
      </x:c>
      <x:c r="B15" s="57" t="n">
        <x:v>32.13314627770683</x:v>
      </x:c>
      <x:c r="C15" s="57" t="n">
        <x:v>31.110417645937677</x:v>
      </x:c>
      <x:c r="D15" s="57" t="n">
        <x:v>29.90819824561528</x:v>
      </x:c>
      <x:c r="E15" s="57" t="n">
        <x:v>28.58657726407555</x:v>
      </x:c>
      <x:c r="F15" s="57" t="n">
        <x:v>27.290625000243118</x:v>
      </x:c>
      <x:c r="G15" s="57" t="n">
        <x:v>26.188157672781085</x:v>
      </x:c>
      <x:c r="H15" s="57" t="n">
        <x:v>25.381445175259348</x:v>
      </x:c>
      <x:c r="I15" s="57" t="n">
        <x:v>24.899629221762254</x:v>
      </x:c>
      <x:c r="J15" s="57" t="n">
        <x:v>24.7402859872442</x:v>
      </x:c>
      <x:c r="K15" s="57" t="n">
        <x:v>24.899629221762254</x:v>
      </x:c>
      <x:c r="L15" s="57" t="n">
        <x:v>25.381445175259348</x:v>
      </x:c>
      <x:c r="M15" s="57" t="n">
        <x:v>26.188157672781085</x:v>
      </x:c>
      <x:c r="N15" s="57" t="n">
        <x:v>27.290625000243118</x:v>
      </x:c>
      <x:c r="O15" s="57" t="n">
        <x:v>28.586577264075554</x:v>
      </x:c>
      <x:c r="P15" s="57" t="n">
        <x:v>29.90819824561528</x:v>
      </x:c>
      <x:c r="Q15" s="57" t="n">
        <x:v>31.110417645937677</x:v>
      </x:c>
      <x:c r="R15" s="57" t="n">
        <x:v>32.13314627770683</x:v>
      </x:c>
    </x:row>
    <x:row r="16">
      <x:c r="A16" s="166" t="n">
        <x:v>-1</x:v>
      </x:c>
      <x:c r="B16" s="57" t="n">
        <x:v>32.63673524461406</x:v>
      </x:c>
      <x:c r="C16" s="57" t="n">
        <x:v>31.83291800694279</x:v>
      </x:c>
      <x:c r="D16" s="57" t="n">
        <x:v>30.939564075920565</x:v>
      </x:c>
      <x:c r="E16" s="57" t="n">
        <x:v>30.00354389069765</x:v>
      </x:c>
      <x:c r="F16" s="57" t="n">
        <x:v>29.104523913299438</x:v>
      </x:c>
      <x:c r="G16" s="57" t="n">
        <x:v>28.330655201730885</x:v>
      </x:c>
      <x:c r="H16" s="57" t="n">
        <x:v>27.74783951496232</x:v>
      </x:c>
      <x:c r="I16" s="57" t="n">
        <x:v>27.39021747588185</x:v>
      </x:c>
      <x:c r="J16" s="57" t="n">
        <x:v>27.27014768882099</x:v>
      </x:c>
      <x:c r="K16" s="57" t="n">
        <x:v>27.39021747588185</x:v>
      </x:c>
      <x:c r="L16" s="57" t="n">
        <x:v>27.74783951496232</x:v>
      </x:c>
      <x:c r="M16" s="57" t="n">
        <x:v>28.330655201730885</x:v>
      </x:c>
      <x:c r="N16" s="57" t="n">
        <x:v>29.104523913299438</x:v>
      </x:c>
      <x:c r="O16" s="57" t="n">
        <x:v>30.00354389069765</x:v>
      </x:c>
      <x:c r="P16" s="57" t="n">
        <x:v>30.939564075920565</x:v>
      </x:c>
      <x:c r="Q16" s="57" t="n">
        <x:v>31.83291800694279</x:v>
      </x:c>
      <x:c r="R16" s="57" t="n">
        <x:v>32.63673524461406</x:v>
      </x:c>
    </x:row>
    <x:row r="17">
      <x:c r="A17" s="166" t="n">
        <x:v>-1.25</x:v>
      </x:c>
      <x:c r="B17" s="57" t="n">
        <x:v>33.13854775630139</x:v>
      </x:c>
      <x:c r="C17" s="57" t="n">
        <x:v>32.50627272700096</x:v>
      </x:c>
      <x:c r="D17" s="57" t="n">
        <x:v>31.83141860437881</x:v>
      </x:c>
      <x:c r="E17" s="57" t="n">
        <x:v>31.147431544479602</x:v>
      </x:c>
      <x:c r="F17" s="57" t="n">
        <x:v>30.501952895623987</x:v>
      </x:c>
      <x:c r="G17" s="57" t="n">
        <x:v>29.94631440676787</x:v>
      </x:c>
      <x:c r="H17" s="57" t="n">
        <x:v>29.523074565770948</x:v>
      </x:c>
      <x:c r="I17" s="57" t="n">
        <x:v>29.259895662921004</x:v>
      </x:c>
      <x:c r="J17" s="57" t="n">
        <x:v>29.170802830017898</x:v>
      </x:c>
      <x:c r="K17" s="57" t="n">
        <x:v>29.259895662921004</x:v>
      </x:c>
      <x:c r="L17" s="57" t="n">
        <x:v>29.523074565770948</x:v>
      </x:c>
      <x:c r="M17" s="57" t="n">
        <x:v>29.94631440676787</x:v>
      </x:c>
      <x:c r="N17" s="57" t="n">
        <x:v>30.501952895623987</x:v>
      </x:c>
      <x:c r="O17" s="57" t="n">
        <x:v>31.147431544479602</x:v>
      </x:c>
      <x:c r="P17" s="57" t="n">
        <x:v>31.83141860437881</x:v>
      </x:c>
      <x:c r="Q17" s="57" t="n">
        <x:v>32.50627272700096</x:v>
      </x:c>
      <x:c r="R17" s="57" t="n">
        <x:v>33.13854775630139</x:v>
      </x:c>
    </x:row>
    <x:row r="18">
      <x:c r="A18" s="166" t="n">
        <x:v>-1.5</x:v>
      </x:c>
      <x:c r="B18" s="57" t="n">
        <x:v>33.61465903533348</x:v>
      </x:c>
      <x:c r="C18" s="57" t="n">
        <x:v>33.11370653564775</x:v>
      </x:c>
      <x:c r="D18" s="57" t="n">
        <x:v>32.594943659484386</x:v>
      </x:c>
      <x:c r="E18" s="57" t="n">
        <x:v>32.08206128878675</x:v>
      </x:c>
      <x:c r="F18" s="57" t="n">
        <x:v>31.605508997654944</x:v>
      </x:c>
      <x:c r="G18" s="57" t="n">
        <x:v>31.197446567285507</x:v>
      </x:c>
      <x:c r="H18" s="57" t="n">
        <x:v>30.885946820513627</x:v>
      </x:c>
      <x:c r="I18" s="57" t="n">
        <x:v>30.691294956070955</x:v>
      </x:c>
      <x:c r="J18" s="57" t="n">
        <x:v>30.625164733362716</x:v>
      </x:c>
      <x:c r="K18" s="57" t="n">
        <x:v>30.691294956070955</x:v>
      </x:c>
      <x:c r="L18" s="57" t="n">
        <x:v>30.885946820513627</x:v>
      </x:c>
      <x:c r="M18" s="57" t="n">
        <x:v>31.197446567285507</x:v>
      </x:c>
      <x:c r="N18" s="57" t="n">
        <x:v>31.605508997654944</x:v>
      </x:c>
      <x:c r="O18" s="57" t="n">
        <x:v>32.08206128878675</x:v>
      </x:c>
      <x:c r="P18" s="57" t="n">
        <x:v>32.594943659484386</x:v>
      </x:c>
      <x:c r="Q18" s="57" t="n">
        <x:v>33.11370653564775</x:v>
      </x:c>
      <x:c r="R18" s="57" t="n">
        <x:v>33.61465903533348</x:v>
      </x:c>
    </x:row>
    <x:row r="19">
      <x:c r="A19" s="166" t="n">
        <x:v>-1.75</x:v>
      </x:c>
      <x:c r="B19" s="57" t="n">
        <x:v>34.05508764064056</x:v>
      </x:c>
      <x:c r="C19" s="57" t="n">
        <x:v>33.65445839526352</x:v>
      </x:c>
      <x:c r="D19" s="57" t="n">
        <x:v>33.2492410416061</x:v>
      </x:c>
      <x:c r="E19" s="57" t="n">
        <x:v>32.85642467537959</x:v>
      </x:c>
      <x:c r="F19" s="57" t="n">
        <x:v>32.49643723683126</x:v>
      </x:c>
      <x:c r="G19" s="57" t="n">
        <x:v>32.19047067544413</x:v>
      </x:c>
      <x:c r="H19" s="57" t="n">
        <x:v>31.95745760259012</x:v>
      </x:c>
      <x:c r="I19" s="57" t="n">
        <x:v>31.81179663188442</x:v>
      </x:c>
      <x:c r="J19" s="57" t="n">
        <x:v>31.762268473109252</x:v>
      </x:c>
      <x:c r="K19" s="57" t="n">
        <x:v>31.81179663188442</x:v>
      </x:c>
      <x:c r="L19" s="57" t="n">
        <x:v>31.95745760259012</x:v>
      </x:c>
      <x:c r="M19" s="57" t="n">
        <x:v>32.19047067544413</x:v>
      </x:c>
      <x:c r="N19" s="57" t="n">
        <x:v>32.49643723683126</x:v>
      </x:c>
      <x:c r="O19" s="57" t="n">
        <x:v>32.85642467537959</x:v>
      </x:c>
      <x:c r="P19" s="57" t="n">
        <x:v>33.2492410416061</x:v>
      </x:c>
      <x:c r="Q19" s="57" t="n">
        <x:v>33.65445839526352</x:v>
      </x:c>
      <x:c r="R19" s="57" t="n">
        <x:v>34.05508764064056</x:v>
      </x:c>
    </x:row>
    <x:row r="20">
      <x:c r="A20" s="166" t="n">
        <x:v>-2</x:v>
      </x:c>
      <x:c r="B20" s="57" t="n">
        <x:v>34.45717946674443</x:v>
      </x:c>
      <x:c r="C20" s="57" t="n">
        <x:v>34.13364432458758</x:v>
      </x:c>
      <x:c r="D20" s="57" t="n">
        <x:v>33.81255338841487</x:v>
      </x:c>
      <x:c r="E20" s="57" t="n">
        <x:v>33.506283949531365</x:v>
      </x:c>
      <x:c r="F20" s="57" t="n">
        <x:v>33.229030334451316</x:v>
      </x:c>
      <x:c r="G20" s="57" t="n">
        <x:v>32.99526467004418</x:v>
      </x:c>
      <x:c r="H20" s="57" t="n">
        <x:v>32.81801272085751</x:v>
      </x:c>
      <x:c r="I20" s="57" t="n">
        <x:v>32.70741668356074</x:v>
      </x:c>
      <x:c r="J20" s="57" t="n">
        <x:v>32.6698330218944</x:v>
      </x:c>
      <x:c r="K20" s="57" t="n">
        <x:v>32.70741668356074</x:v>
      </x:c>
      <x:c r="L20" s="57" t="n">
        <x:v>32.81801272085751</x:v>
      </x:c>
      <x:c r="M20" s="57" t="n">
        <x:v>32.99526467004418</x:v>
      </x:c>
      <x:c r="N20" s="57" t="n">
        <x:v>33.229030334451316</x:v>
      </x:c>
      <x:c r="O20" s="57" t="n">
        <x:v>33.50628394953137</x:v>
      </x:c>
      <x:c r="P20" s="57" t="n">
        <x:v>33.81255338841487</x:v>
      </x:c>
      <x:c r="Q20" s="57" t="n">
        <x:v>34.13364432458758</x:v>
      </x:c>
      <x:c r="R20" s="57" t="n">
        <x:v>34.45717946674443</x:v>
      </x:c>
    </x:row>
    <x:row r="23">
      <x:c r="A23" s="138" t="str">
        <x:v>MATRIZ REAL RECONSTRUÍDA — R_MTR (Ω)</x:v>
      </x:c>
      <x:c r="B23" s="138"/>
      <x:c r="C23" s="138"/>
      <x:c r="D23" s="138"/>
      <x:c r="E23" s="138"/>
      <x:c r="F23" s="138"/>
      <x:c r="G23" s="138"/>
      <x:c r="H23" s="138"/>
      <x:c r="I23" s="138"/>
      <x:c r="J23" s="138"/>
      <x:c r="K23" s="138"/>
      <x:c r="L23" s="138"/>
      <x:c r="M23" s="138"/>
      <x:c r="N23" s="138"/>
      <x:c r="O23" s="138"/>
      <x:c r="P23" s="138"/>
      <x:c r="Q23" s="138"/>
      <x:c r="R23" s="138"/>
    </x:row>
    <x:row r="25">
      <x:c r="A25" s="147" t="str">
        <x:v>y \ x</x:v>
      </x:c>
      <x:c r="B25" s="147" t="n">
        <x:v>-0.8</x:v>
      </x:c>
      <x:c r="C25" s="147" t="n">
        <x:v>-0.55</x:v>
      </x:c>
      <x:c r="D25" s="147" t="n">
        <x:v>-0.30000000000000004</x:v>
      </x:c>
      <x:c r="E25" s="147" t="n">
        <x:v>-0.050000000000000044</x:v>
      </x:c>
      <x:c r="F25" s="147" t="n">
        <x:v>0.19999999999999996</x:v>
      </x:c>
      <x:c r="G25" s="147" t="n">
        <x:v>0.44999999999999996</x:v>
      </x:c>
      <x:c r="H25" s="147" t="n">
        <x:v>0.7</x:v>
      </x:c>
      <x:c r="I25" s="147" t="n">
        <x:v>0.95</x:v>
      </x:c>
      <x:c r="J25" s="147" t="n">
        <x:v>1.2</x:v>
      </x:c>
      <x:c r="K25" s="147" t="n">
        <x:v>1.45</x:v>
      </x:c>
      <x:c r="L25" s="147" t="n">
        <x:v>1.7</x:v>
      </x:c>
      <x:c r="M25" s="147" t="n">
        <x:v>1.95</x:v>
      </x:c>
      <x:c r="N25" s="147" t="n">
        <x:v>2.2</x:v>
      </x:c>
      <x:c r="O25" s="147" t="n">
        <x:v>2.45</x:v>
      </x:c>
      <x:c r="P25" s="147" t="n">
        <x:v>2.7</x:v>
      </x:c>
      <x:c r="Q25" s="147" t="n">
        <x:v>2.95</x:v>
      </x:c>
      <x:c r="R25" s="147" t="n">
        <x:v>3.2</x:v>
      </x:c>
    </x:row>
    <x:row r="26">
      <x:c r="A26" s="166" t="n">
        <x:v>2</x:v>
      </x:c>
      <x:c r="B26" s="57" t="n">
        <x:v>33.5683</x:v>
      </x:c>
      <x:c r="C26" s="57" t="n">
        <x:v>35.1605</x:v>
      </x:c>
      <x:c r="D26" s="57" t="n">
        <x:v>33.4387</x:v>
      </x:c>
      <x:c r="E26" s="57" t="n">
        <x:v>32.3289</x:v>
      </x:c>
      <x:c r="F26" s="57" t="n">
        <x:v>32.654</x:v>
      </x:c>
      <x:c r="G26" s="57" t="n">
        <x:v>35.173</x:v>
      </x:c>
      <x:c r="H26" s="57" t="n">
        <x:v>30.5268</x:v>
      </x:c>
      <x:c r="I26" s="57" t="n">
        <x:v>35.3136</x:v>
      </x:c>
      <x:c r="J26" s="57" t="n">
        <x:v>36.0496</x:v>
      </x:c>
      <x:c r="K26" s="57" t="n">
        <x:v>32.8805</x:v>
      </x:c>
      <x:c r="L26" s="57" t="n">
        <x:v>33.5099</x:v>
      </x:c>
      <x:c r="M26" s="57" t="n">
        <x:v>29.944</x:v>
      </x:c>
      <x:c r="N26" s="57" t="n">
        <x:v>38.7815</x:v>
      </x:c>
      <x:c r="O26" s="57" t="n">
        <x:v>35.9564</x:v>
      </x:c>
      <x:c r="P26" s="57" t="n">
        <x:v>34.4418</x:v>
      </x:c>
      <x:c r="Q26" s="57" t="n">
        <x:v>34.528</x:v>
      </x:c>
      <x:c r="R26" s="57" t="n">
        <x:v>35.8141</x:v>
      </x:c>
    </x:row>
    <x:row r="27">
      <x:c r="A27" s="166" t="n">
        <x:v>1.75</x:v>
      </x:c>
      <x:c r="B27" s="57" t="n">
        <x:v>37.5147</x:v>
      </x:c>
      <x:c r="C27" s="57" t="n">
        <x:v>35.1372</x:v>
      </x:c>
      <x:c r="D27" s="57" t="n">
        <x:v>33.2039</x:v>
      </x:c>
      <x:c r="E27" s="57" t="n">
        <x:v>33.0975</x:v>
      </x:c>
      <x:c r="F27" s="57" t="n">
        <x:v>29.5384</x:v>
      </x:c>
      <x:c r="G27" s="57" t="n">
        <x:v>27.4485</x:v>
      </x:c>
      <x:c r="H27" s="57" t="n">
        <x:v>30.3171</x:v>
      </x:c>
      <x:c r="I27" s="57" t="n">
        <x:v>31.847</x:v>
      </x:c>
      <x:c r="J27" s="57" t="n">
        <x:v>33.0655</x:v>
      </x:c>
      <x:c r="K27" s="57" t="n">
        <x:v>27.6891</x:v>
      </x:c>
      <x:c r="L27" s="57" t="n">
        <x:v>27.9596</x:v>
      </x:c>
      <x:c r="M27" s="57" t="n">
        <x:v>32.2772</x:v>
      </x:c>
      <x:c r="N27" s="57" t="n">
        <x:v>29.1527</x:v>
      </x:c>
      <x:c r="O27" s="57" t="n">
        <x:v>34.5845</x:v>
      </x:c>
      <x:c r="P27" s="57" t="n">
        <x:v>38.1481</x:v>
      </x:c>
      <x:c r="Q27" s="57" t="n">
        <x:v>35.4934</x:v>
      </x:c>
      <x:c r="R27" s="57" t="n">
        <x:v>31.2668</x:v>
      </x:c>
    </x:row>
    <x:row r="28">
      <x:c r="A28" s="166" t="n">
        <x:v>1.5</x:v>
      </x:c>
      <x:c r="B28" s="57" t="n">
        <x:v>35.0522</x:v>
      </x:c>
      <x:c r="C28" s="57" t="n">
        <x:v>38.2516</x:v>
      </x:c>
      <x:c r="D28" s="57" t="n">
        <x:v>38.5448</x:v>
      </x:c>
      <x:c r="E28" s="57" t="n">
        <x:v>34.4818</x:v>
      </x:c>
      <x:c r="F28" s="57" t="n">
        <x:v>33.2362</x:v>
      </x:c>
      <x:c r="G28" s="57" t="n">
        <x:v>28.9816</x:v>
      </x:c>
      <x:c r="H28" s="57" t="n">
        <x:v>28.6717</x:v>
      </x:c>
      <x:c r="I28" s="57" t="n">
        <x:v>32.2997</x:v>
      </x:c>
      <x:c r="J28" s="57" t="n">
        <x:v>30.5764</x:v>
      </x:c>
      <x:c r="K28" s="57" t="n">
        <x:v>27.9771</x:v>
      </x:c>
      <x:c r="L28" s="57" t="n">
        <x:v>30.6883</x:v>
      </x:c>
      <x:c r="M28" s="57" t="n">
        <x:v>32.0118</x:v>
      </x:c>
      <x:c r="N28" s="57" t="n">
        <x:v>33.6579</x:v>
      </x:c>
      <x:c r="O28" s="57" t="n">
        <x:v>31.8481</x:v>
      </x:c>
      <x:c r="P28" s="57" t="n">
        <x:v>31.9762</x:v>
      </x:c>
      <x:c r="Q28" s="57" t="n">
        <x:v>33.0921</x:v>
      </x:c>
      <x:c r="R28" s="57" t="n">
        <x:v>33.9597</x:v>
      </x:c>
    </x:row>
    <x:row r="29">
      <x:c r="A29" s="166" t="n">
        <x:v>1.25</x:v>
      </x:c>
      <x:c r="B29" s="57" t="n">
        <x:v>35.2303</x:v>
      </x:c>
      <x:c r="C29" s="57" t="n">
        <x:v>34.388</x:v>
      </x:c>
      <x:c r="D29" s="57" t="n">
        <x:v>29.5721</x:v>
      </x:c>
      <x:c r="E29" s="57" t="n">
        <x:v>36.004</x:v>
      </x:c>
      <x:c r="F29" s="57" t="n">
        <x:v>34.0228</x:v>
      </x:c>
      <x:c r="G29" s="57" t="n">
        <x:v>33.5404</x:v>
      </x:c>
      <x:c r="H29" s="57" t="n">
        <x:v>33.267</x:v>
      </x:c>
      <x:c r="I29" s="57" t="n">
        <x:v>29.3029</x:v>
      </x:c>
      <x:c r="J29" s="57" t="n">
        <x:v>29.2681</x:v>
      </x:c>
      <x:c r="K29" s="57" t="n">
        <x:v>27.4978</x:v>
      </x:c>
      <x:c r="L29" s="57" t="n">
        <x:v>28.5915</x:v>
      </x:c>
      <x:c r="M29" s="57" t="n">
        <x:v>29.0026</x:v>
      </x:c>
      <x:c r="N29" s="57" t="n">
        <x:v>30.6883</x:v>
      </x:c>
      <x:c r="O29" s="57" t="n">
        <x:v>32.5465</x:v>
      </x:c>
      <x:c r="P29" s="57" t="n">
        <x:v>31.2797</x:v>
      </x:c>
      <x:c r="Q29" s="57" t="n">
        <x:v>31.9124</x:v>
      </x:c>
      <x:c r="R29" s="57" t="n">
        <x:v>32.4141</x:v>
      </x:c>
    </x:row>
    <x:row r="30">
      <x:c r="A30" s="166" t="n">
        <x:v>1</x:v>
      </x:c>
      <x:c r="B30" s="57" t="n">
        <x:v>33.7779</x:v>
      </x:c>
      <x:c r="C30" s="57" t="n">
        <x:v>34.4343</x:v>
      </x:c>
      <x:c r="D30" s="57" t="n">
        <x:v>30.4193</x:v>
      </x:c>
      <x:c r="E30" s="57" t="n">
        <x:v>32.1913</x:v>
      </x:c>
      <x:c r="F30" s="57" t="n">
        <x:v>30.94</x:v>
      </x:c>
      <x:c r="G30" s="57" t="n">
        <x:v>29.0965</x:v>
      </x:c>
      <x:c r="H30" s="57" t="n">
        <x:v>27.4024</x:v>
      </x:c>
      <x:c r="I30" s="57" t="n">
        <x:v>28.6435</x:v>
      </x:c>
      <x:c r="J30" s="57" t="n">
        <x:v>29.4502</x:v>
      </x:c>
      <x:c r="K30" s="57" t="n">
        <x:v>25.9418</x:v>
      </x:c>
      <x:c r="L30" s="57" t="n">
        <x:v>28.4488</x:v>
      </x:c>
      <x:c r="M30" s="57" t="n">
        <x:v>29.0538</x:v>
      </x:c>
      <x:c r="N30" s="57" t="n">
        <x:v>28.3987</x:v>
      </x:c>
      <x:c r="O30" s="57" t="n">
        <x:v>29.3614</x:v>
      </x:c>
      <x:c r="P30" s="57" t="n">
        <x:v>28.2971</x:v>
      </x:c>
      <x:c r="Q30" s="57" t="n">
        <x:v>30.0881</x:v>
      </x:c>
      <x:c r="R30" s="57" t="n">
        <x:v>29.8693</x:v>
      </x:c>
    </x:row>
    <x:row r="31">
      <x:c r="A31" s="166" t="n">
        <x:v>0.75</x:v>
      </x:c>
      <x:c r="B31" s="57" t="n">
        <x:v>33.0205</x:v>
      </x:c>
      <x:c r="C31" s="57" t="n">
        <x:v>31.6899</x:v>
      </x:c>
      <x:c r="D31" s="57" t="n">
        <x:v>31.2153</x:v>
      </x:c>
      <x:c r="E31" s="57" t="n">
        <x:v>29.335</x:v>
      </x:c>
      <x:c r="F31" s="57" t="n">
        <x:v>27.9336</x:v>
      </x:c>
      <x:c r="G31" s="57" t="n">
        <x:v>26.6729</x:v>
      </x:c>
      <x:c r="H31" s="57" t="n">
        <x:v>26.3442</x:v>
      </x:c>
      <x:c r="I31" s="57" t="n">
        <x:v>22.6988</x:v>
      </x:c>
      <x:c r="J31" s="57" t="n">
        <x:v>22.4924</x:v>
      </x:c>
      <x:c r="K31" s="57" t="n">
        <x:v>25.4994</x:v>
      </x:c>
      <x:c r="L31" s="57" t="n">
        <x:v>26.0793</x:v>
      </x:c>
      <x:c r="M31" s="57" t="n">
        <x:v>27.8072</x:v>
      </x:c>
      <x:c r="N31" s="57" t="n">
        <x:v>26.8066</x:v>
      </x:c>
      <x:c r="O31" s="57" t="n">
        <x:v>29.006</x:v>
      </x:c>
      <x:c r="P31" s="57" t="n">
        <x:v>31.2302</x:v>
      </x:c>
      <x:c r="Q31" s="57" t="n">
        <x:v>25.2004</x:v>
      </x:c>
      <x:c r="R31" s="57" t="n">
        <x:v>31.8236</x:v>
      </x:c>
    </x:row>
    <x:row r="32">
      <x:c r="A32" s="166" t="n">
        <x:v>0.5</x:v>
      </x:c>
      <x:c r="B32" s="57" t="n">
        <x:v>32.3154</x:v>
      </x:c>
      <x:c r="C32" s="57" t="n">
        <x:v>31.4638</x:v>
      </x:c>
      <x:c r="D32" s="57" t="n">
        <x:v>27.3251</x:v>
      </x:c>
      <x:c r="E32" s="57" t="n">
        <x:v>29.1438</x:v>
      </x:c>
      <x:c r="F32" s="57" t="n">
        <x:v>23.3487</x:v>
      </x:c>
      <x:c r="G32" s="57" t="n">
        <x:v>20.3959</x:v>
      </x:c>
      <x:c r="H32" s="57" t="n">
        <x:v>24.325</x:v>
      </x:c>
      <x:c r="I32" s="57" t="n">
        <x:v>20.9053</x:v>
      </x:c>
      <x:c r="J32" s="57" t="n">
        <x:v>21.4084</x:v>
      </x:c>
      <x:c r="K32" s="57" t="n">
        <x:v>24.4055</x:v>
      </x:c>
      <x:c r="L32" s="57" t="n">
        <x:v>24.1555</x:v>
      </x:c>
      <x:c r="M32" s="57" t="n">
        <x:v>24.3225</x:v>
      </x:c>
      <x:c r="N32" s="57" t="n">
        <x:v>26.7462</x:v>
      </x:c>
      <x:c r="O32" s="57" t="n">
        <x:v>25.5388</x:v>
      </x:c>
      <x:c r="P32" s="57" t="n">
        <x:v>30.3146</x:v>
      </x:c>
      <x:c r="Q32" s="57" t="n">
        <x:v>32.7949</x:v>
      </x:c>
      <x:c r="R32" s="57" t="n">
        <x:v>33.4306</x:v>
      </x:c>
    </x:row>
    <x:row r="33">
      <x:c r="A33" s="166" t="n">
        <x:v>0.25</x:v>
      </x:c>
      <x:c r="B33" s="57" t="n">
        <x:v>34.2081</x:v>
      </x:c>
      <x:c r="C33" s="57" t="n">
        <x:v>27.8911</x:v>
      </x:c>
      <x:c r="D33" s="57" t="n">
        <x:v>28.9954</x:v>
      </x:c>
      <x:c r="E33" s="57" t="n">
        <x:v>26.1461</x:v>
      </x:c>
      <x:c r="F33" s="57" t="n">
        <x:v>20.507</x:v>
      </x:c>
      <x:c r="G33" s="57" t="n">
        <x:v>23.298</x:v>
      </x:c>
      <x:c r="H33" s="57" t="n">
        <x:v>17.1073</x:v>
      </x:c>
      <x:c r="I33" s="57" t="n">
        <x:v>18.2624</x:v>
      </x:c>
      <x:c r="J33" s="57" t="n">
        <x:v>20.6565</x:v>
      </x:c>
      <x:c r="K33" s="57" t="n">
        <x:v>18.3046</x:v>
      </x:c>
      <x:c r="L33" s="57" t="n">
        <x:v>19.2557</x:v>
      </x:c>
      <x:c r="M33" s="57" t="n">
        <x:v>20.4038</x:v>
      </x:c>
      <x:c r="N33" s="57" t="n">
        <x:v>18.5613</x:v>
      </x:c>
      <x:c r="O33" s="57" t="n">
        <x:v>24.1139</x:v>
      </x:c>
      <x:c r="P33" s="57" t="n">
        <x:v>24.9915</x:v>
      </x:c>
      <x:c r="Q33" s="57" t="n">
        <x:v>31.5751</x:v>
      </x:c>
      <x:c r="R33" s="57" t="n">
        <x:v>29.5516</x:v>
      </x:c>
    </x:row>
    <x:row r="34">
      <x:c r="A34" s="166" t="n">
        <x:v>0</x:v>
      </x:c>
      <x:c r="B34" s="57" t="n">
        <x:v>33.4883</x:v>
      </x:c>
      <x:c r="C34" s="57" t="n">
        <x:v>33.6335</x:v>
      </x:c>
      <x:c r="D34" s="57" t="n">
        <x:v>25.7179</x:v>
      </x:c>
      <x:c r="E34" s="57" t="n">
        <x:v>20.1015</x:v>
      </x:c>
      <x:c r="F34" s="57" t="n">
        <x:v>22.544</x:v>
      </x:c>
      <x:c r="G34" s="57" t="n">
        <x:v>16.0965</x:v>
      </x:c>
      <x:c r="H34" s="57" t="n">
        <x:v>16.3309</x:v>
      </x:c>
      <x:c r="I34" s="57" t="n">
        <x:v>15.6212</x:v>
      </x:c>
      <x:c r="J34" s="57" t="n">
        <x:v>14.1479</x:v>
      </x:c>
      <x:c r="K34" s="57" t="n">
        <x:v>16.9933</x:v>
      </x:c>
      <x:c r="L34" s="57" t="n">
        <x:v>17.8853</x:v>
      </x:c>
      <x:c r="M34" s="57" t="n">
        <x:v>18.3882</x:v>
      </x:c>
      <x:c r="N34" s="57" t="n">
        <x:v>20.2689</x:v>
      </x:c>
      <x:c r="O34" s="57" t="n">
        <x:v>24.2407</x:v>
      </x:c>
      <x:c r="P34" s="57" t="n">
        <x:v>25.2595</x:v>
      </x:c>
      <x:c r="Q34" s="57" t="n">
        <x:v>29.1823</x:v>
      </x:c>
      <x:c r="R34" s="57" t="n">
        <x:v>31.0551</x:v>
      </x:c>
    </x:row>
    <x:row r="35">
      <x:c r="A35" s="166" t="n">
        <x:v>-0.25</x:v>
      </x:c>
      <x:c r="B35" s="57" t="n">
        <x:v>36.3537</x:v>
      </x:c>
      <x:c r="C35" s="57" t="n">
        <x:v>29.3727</x:v>
      </x:c>
      <x:c r="D35" s="57" t="n">
        <x:v>25.3811</x:v>
      </x:c>
      <x:c r="E35" s="57" t="n">
        <x:v>26.7326</x:v>
      </x:c>
      <x:c r="F35" s="57" t="n">
        <x:v>20.7163</x:v>
      </x:c>
      <x:c r="G35" s="57" t="n">
        <x:v>17.3658</x:v>
      </x:c>
      <x:c r="H35" s="57" t="n">
        <x:v>17.3717</x:v>
      </x:c>
      <x:c r="I35" s="57" t="n">
        <x:v>17.6001</x:v>
      </x:c>
      <x:c r="J35" s="57" t="n">
        <x:v>19.636</x:v>
      </x:c>
      <x:c r="K35" s="57" t="n">
        <x:v>18.2098</x:v>
      </x:c>
      <x:c r="L35" s="57" t="n">
        <x:v>20.485</x:v>
      </x:c>
      <x:c r="M35" s="57" t="n">
        <x:v>21.1471</x:v>
      </x:c>
      <x:c r="N35" s="57" t="n">
        <x:v>24.0077</x:v>
      </x:c>
      <x:c r="O35" s="57" t="n">
        <x:v>24.2599</x:v>
      </x:c>
      <x:c r="P35" s="57" t="n">
        <x:v>27.4125</x:v>
      </x:c>
      <x:c r="Q35" s="57" t="n">
        <x:v>32.7334</x:v>
      </x:c>
      <x:c r="R35" s="57" t="n">
        <x:v>32.9909</x:v>
      </x:c>
    </x:row>
    <x:row r="36">
      <x:c r="A36" s="166" t="n">
        <x:v>-0.5</x:v>
      </x:c>
      <x:c r="B36" s="57" t="n">
        <x:v>34.1544</x:v>
      </x:c>
      <x:c r="C36" s="57" t="n">
        <x:v>30.0774</x:v>
      </x:c>
      <x:c r="D36" s="57" t="n">
        <x:v>31.9486</x:v>
      </x:c>
      <x:c r="E36" s="57" t="n">
        <x:v>27.6204</x:v>
      </x:c>
      <x:c r="F36" s="57" t="n">
        <x:v>25.2404</x:v>
      </x:c>
      <x:c r="G36" s="57" t="n">
        <x:v>24.5272</x:v>
      </x:c>
      <x:c r="H36" s="57" t="n">
        <x:v>23.3388</x:v>
      </x:c>
      <x:c r="I36" s="57" t="n">
        <x:v>23.6692</x:v>
      </x:c>
      <x:c r="J36" s="57" t="n">
        <x:v>20.5983</x:v>
      </x:c>
      <x:c r="K36" s="57" t="n">
        <x:v>18.6041</x:v>
      </x:c>
      <x:c r="L36" s="57" t="n">
        <x:v>22.8157</x:v>
      </x:c>
      <x:c r="M36" s="57" t="n">
        <x:v>22.7922</x:v>
      </x:c>
      <x:c r="N36" s="57" t="n">
        <x:v>24.9681</x:v>
      </x:c>
      <x:c r="O36" s="57" t="n">
        <x:v>30.4535</x:v>
      </x:c>
      <x:c r="P36" s="57" t="n">
        <x:v>27.1861</x:v>
      </x:c>
      <x:c r="Q36" s="57" t="n">
        <x:v>32.6231</x:v>
      </x:c>
      <x:c r="R36" s="57" t="n">
        <x:v>34.3956</x:v>
      </x:c>
    </x:row>
    <x:row r="37">
      <x:c r="A37" s="166" t="n">
        <x:v>-0.75</x:v>
      </x:c>
      <x:c r="B37" s="57" t="n">
        <x:v>32.4727</x:v>
      </x:c>
      <x:c r="C37" s="57" t="n">
        <x:v>27.298</x:v>
      </x:c>
      <x:c r="D37" s="57" t="n">
        <x:v>28.0868</x:v>
      </x:c>
      <x:c r="E37" s="57" t="n">
        <x:v>26.7904</x:v>
      </x:c>
      <x:c r="F37" s="57" t="n">
        <x:v>28.0129</x:v>
      </x:c>
      <x:c r="G37" s="57" t="n">
        <x:v>25.7224</x:v>
      </x:c>
      <x:c r="H37" s="57" t="n">
        <x:v>29.1147</x:v>
      </x:c>
      <x:c r="I37" s="57" t="n">
        <x:v>25.269</x:v>
      </x:c>
      <x:c r="J37" s="57" t="n">
        <x:v>22.713</x:v>
      </x:c>
      <x:c r="K37" s="57" t="n">
        <x:v>21.9447</x:v>
      </x:c>
      <x:c r="L37" s="57" t="n">
        <x:v>22.0848</x:v>
      </x:c>
      <x:c r="M37" s="57" t="n">
        <x:v>27.3388</x:v>
      </x:c>
      <x:c r="N37" s="57" t="n">
        <x:v>28.6362</x:v>
      </x:c>
      <x:c r="O37" s="57" t="n">
        <x:v>26.9728</x:v>
      </x:c>
      <x:c r="P37" s="57" t="n">
        <x:v>29.5482</x:v>
      </x:c>
      <x:c r="Q37" s="57" t="n">
        <x:v>29.716</x:v>
      </x:c>
      <x:c r="R37" s="57" t="n">
        <x:v>29.4164</x:v>
      </x:c>
    </x:row>
    <x:row r="38">
      <x:c r="A38" s="166" t="n">
        <x:v>-1</x:v>
      </x:c>
      <x:c r="B38" s="57" t="n">
        <x:v>29.7886</x:v>
      </x:c>
      <x:c r="C38" s="57" t="n">
        <x:v>32.0767</x:v>
      </x:c>
      <x:c r="D38" s="57" t="n">
        <x:v>27.1176</x:v>
      </x:c>
      <x:c r="E38" s="57" t="n">
        <x:v>28.4395</x:v>
      </x:c>
      <x:c r="F38" s="57" t="n">
        <x:v>33.4829</x:v>
      </x:c>
      <x:c r="G38" s="57" t="n">
        <x:v>27.0789</x:v>
      </x:c>
      <x:c r="H38" s="57" t="n">
        <x:v>29.7655</x:v>
      </x:c>
      <x:c r="I38" s="57" t="n">
        <x:v>28.1363</x:v>
      </x:c>
      <x:c r="J38" s="57" t="n">
        <x:v>26.8806</x:v>
      </x:c>
      <x:c r="K38" s="57" t="n">
        <x:v>26.0677</x:v>
      </x:c>
      <x:c r="L38" s="57" t="n">
        <x:v>30.107</x:v>
      </x:c>
      <x:c r="M38" s="57" t="n">
        <x:v>27.9034</x:v>
      </x:c>
      <x:c r="N38" s="57" t="n">
        <x:v>32.0806</x:v>
      </x:c>
      <x:c r="O38" s="57" t="n">
        <x:v>28.4609</x:v>
      </x:c>
      <x:c r="P38" s="57" t="n">
        <x:v>31.0117</x:v>
      </x:c>
      <x:c r="Q38" s="57" t="n">
        <x:v>32.8151</x:v>
      </x:c>
      <x:c r="R38" s="57" t="n">
        <x:v>33.4554</x:v>
      </x:c>
    </x:row>
    <x:row r="39">
      <x:c r="A39" s="166" t="n">
        <x:v>-1.25</x:v>
      </x:c>
      <x:c r="B39" s="57" t="n">
        <x:v>33.6054</x:v>
      </x:c>
      <x:c r="C39" s="57" t="n">
        <x:v>31.0774</x:v>
      </x:c>
      <x:c r="D39" s="57" t="n">
        <x:v>34.5626</x:v>
      </x:c>
      <x:c r="E39" s="57" t="n">
        <x:v>29.1181</x:v>
      </x:c>
      <x:c r="F39" s="57" t="n">
        <x:v>27.4439</x:v>
      </x:c>
      <x:c r="G39" s="57" t="n">
        <x:v>27.9091</x:v>
      </x:c>
      <x:c r="H39" s="57" t="n">
        <x:v>27.46</x:v>
      </x:c>
      <x:c r="I39" s="57" t="n">
        <x:v>27.267</x:v>
      </x:c>
      <x:c r="J39" s="57" t="n">
        <x:v>28.0617</x:v>
      </x:c>
      <x:c r="K39" s="57" t="n">
        <x:v>31.8668</x:v>
      </x:c>
      <x:c r="L39" s="57" t="n">
        <x:v>30.1395</x:v>
      </x:c>
      <x:c r="M39" s="57" t="n">
        <x:v>29.4129</x:v>
      </x:c>
      <x:c r="N39" s="57" t="n">
        <x:v>30.5434</x:v>
      </x:c>
      <x:c r="O39" s="57" t="n">
        <x:v>30.3135</x:v>
      </x:c>
      <x:c r="P39" s="57" t="n">
        <x:v>34.1421</x:v>
      </x:c>
      <x:c r="Q39" s="57" t="n">
        <x:v>31.1939</x:v>
      </x:c>
      <x:c r="R39" s="57" t="n">
        <x:v>35.2167</x:v>
      </x:c>
    </x:row>
    <x:row r="40">
      <x:c r="A40" s="166" t="n">
        <x:v>-1.5</x:v>
      </x:c>
      <x:c r="B40" s="57" t="n">
        <x:v>32.1943</x:v>
      </x:c>
      <x:c r="C40" s="57" t="n">
        <x:v>35.2636</x:v>
      </x:c>
      <x:c r="D40" s="57" t="n">
        <x:v>32.0015</x:v>
      </x:c>
      <x:c r="E40" s="57" t="n">
        <x:v>31.6142</x:v>
      </x:c>
      <x:c r="F40" s="57" t="n">
        <x:v>33.2142</x:v>
      </x:c>
      <x:c r="G40" s="57" t="n">
        <x:v>33.5566</x:v>
      </x:c>
      <x:c r="H40" s="57" t="n">
        <x:v>31.7754</x:v>
      </x:c>
      <x:c r="I40" s="57" t="n">
        <x:v>29.8002</x:v>
      </x:c>
      <x:c r="J40" s="57" t="n">
        <x:v>29.2973</x:v>
      </x:c>
      <x:c r="K40" s="57" t="n">
        <x:v>34.1162</x:v>
      </x:c>
      <x:c r="L40" s="57" t="n">
        <x:v>32.5063</x:v>
      </x:c>
      <x:c r="M40" s="57" t="n">
        <x:v>33.0782</x:v>
      </x:c>
      <x:c r="N40" s="57" t="n">
        <x:v>36.6587</x:v>
      </x:c>
      <x:c r="O40" s="57" t="n">
        <x:v>30.584</x:v>
      </x:c>
      <x:c r="P40" s="57" t="n">
        <x:v>38.593</x:v>
      </x:c>
      <x:c r="Q40" s="57" t="n">
        <x:v>39.4042</x:v>
      </x:c>
      <x:c r="R40" s="57" t="n">
        <x:v>37.5749</x:v>
      </x:c>
    </x:row>
    <x:row r="41">
      <x:c r="A41" s="166" t="n">
        <x:v>-1.75</x:v>
      </x:c>
      <x:c r="B41" s="57" t="n">
        <x:v>37.3591</x:v>
      </x:c>
      <x:c r="C41" s="57" t="n">
        <x:v>36.233</x:v>
      </x:c>
      <x:c r="D41" s="57" t="n">
        <x:v>36.9901</x:v>
      </x:c>
      <x:c r="E41" s="57" t="n">
        <x:v>30.8822</x:v>
      </x:c>
      <x:c r="F41" s="57" t="n">
        <x:v>33.5505</x:v>
      </x:c>
      <x:c r="G41" s="57" t="n">
        <x:v>30.1399</x:v>
      </x:c>
      <x:c r="H41" s="57" t="n">
        <x:v>35.5799</x:v>
      </x:c>
      <x:c r="I41" s="57" t="n">
        <x:v>30.9234</x:v>
      </x:c>
      <x:c r="J41" s="57" t="n">
        <x:v>36.4075</x:v>
      </x:c>
      <x:c r="K41" s="57" t="n">
        <x:v>33.8839</x:v>
      </x:c>
      <x:c r="L41" s="57" t="n">
        <x:v>32.3051</x:v>
      </x:c>
      <x:c r="M41" s="57" t="n">
        <x:v>32.3535</x:v>
      </x:c>
      <x:c r="N41" s="57" t="n">
        <x:v>34.6382</x:v>
      </x:c>
      <x:c r="O41" s="57" t="n">
        <x:v>32.46</x:v>
      </x:c>
      <x:c r="P41" s="57" t="n">
        <x:v>30.7938</x:v>
      </x:c>
      <x:c r="Q41" s="57" t="n">
        <x:v>34.0312</x:v>
      </x:c>
      <x:c r="R41" s="57" t="n">
        <x:v>36.0103</x:v>
      </x:c>
    </x:row>
    <x:row r="42">
      <x:c r="A42" s="166" t="n">
        <x:v>-2</x:v>
      </x:c>
      <x:c r="B42" s="57" t="n">
        <x:v>32.8734</x:v>
      </x:c>
      <x:c r="C42" s="57" t="n">
        <x:v>35.0134</x:v>
      </x:c>
      <x:c r="D42" s="57" t="n">
        <x:v>29.7554</x:v>
      </x:c>
      <x:c r="E42" s="57" t="n">
        <x:v>37.0802</x:v>
      </x:c>
      <x:c r="F42" s="57" t="n">
        <x:v>35.0735</x:v>
      </x:c>
      <x:c r="G42" s="57" t="n">
        <x:v>32.7472</x:v>
      </x:c>
      <x:c r="H42" s="57" t="n">
        <x:v>32.5518</x:v>
      </x:c>
      <x:c r="I42" s="57" t="n">
        <x:v>33.8485</x:v>
      </x:c>
      <x:c r="J42" s="57" t="n">
        <x:v>32.5526</x:v>
      </x:c>
      <x:c r="K42" s="57" t="n">
        <x:v>32.7068</x:v>
      </x:c>
      <x:c r="L42" s="57" t="n">
        <x:v>34.9692</x:v>
      </x:c>
      <x:c r="M42" s="57" t="n">
        <x:v>34.7144</x:v>
      </x:c>
      <x:c r="N42" s="57" t="n">
        <x:v>33.6609</x:v>
      </x:c>
      <x:c r="O42" s="57" t="n">
        <x:v>33.9118</x:v>
      </x:c>
      <x:c r="P42" s="57" t="n">
        <x:v>34.8111</x:v>
      </x:c>
      <x:c r="Q42" s="57" t="n">
        <x:v>33.3435</x:v>
      </x:c>
      <x:c r="R42" s="57" t="n">
        <x:v>34.1717</x:v>
      </x:c>
    </x:row>
    <x:row r="45">
      <x:c r="A45" s="138" t="str">
        <x:v>RESÍDUO REAL − IDEAL (Ω)</x:v>
      </x:c>
      <x:c r="B45" s="138"/>
      <x:c r="C45" s="138"/>
      <x:c r="D45" s="138"/>
      <x:c r="E45" s="138"/>
      <x:c r="F45" s="138"/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</x:row>
    <x:row r="47">
      <x:c r="A47" s="147" t="str">
        <x:v>y \ x</x:v>
      </x:c>
      <x:c r="B47" s="147" t="n">
        <x:v>-0.8</x:v>
      </x:c>
      <x:c r="C47" s="147" t="n">
        <x:v>-0.55</x:v>
      </x:c>
      <x:c r="D47" s="147" t="n">
        <x:v>-0.30000000000000004</x:v>
      </x:c>
      <x:c r="E47" s="147" t="n">
        <x:v>-0.050000000000000044</x:v>
      </x:c>
      <x:c r="F47" s="147" t="n">
        <x:v>0.19999999999999996</x:v>
      </x:c>
      <x:c r="G47" s="147" t="n">
        <x:v>0.44999999999999996</x:v>
      </x:c>
      <x:c r="H47" s="147" t="n">
        <x:v>0.7</x:v>
      </x:c>
      <x:c r="I47" s="147" t="n">
        <x:v>0.95</x:v>
      </x:c>
      <x:c r="J47" s="147" t="n">
        <x:v>1.2</x:v>
      </x:c>
      <x:c r="K47" s="147" t="n">
        <x:v>1.45</x:v>
      </x:c>
      <x:c r="L47" s="147" t="n">
        <x:v>1.7</x:v>
      </x:c>
      <x:c r="M47" s="147" t="n">
        <x:v>1.95</x:v>
      </x:c>
      <x:c r="N47" s="147" t="n">
        <x:v>2.2</x:v>
      </x:c>
      <x:c r="O47" s="147" t="n">
        <x:v>2.45</x:v>
      </x:c>
      <x:c r="P47" s="147" t="n">
        <x:v>2.7</x:v>
      </x:c>
      <x:c r="Q47" s="147" t="n">
        <x:v>2.95</x:v>
      </x:c>
      <x:c r="R47" s="147" t="n">
        <x:v>3.2</x:v>
      </x:c>
    </x:row>
    <x:row r="48">
      <x:c r="A48" s="166" t="n">
        <x:v>2</x:v>
      </x:c>
      <x:c r="B48" s="132" t="n">
        <x:v>-0.8888794667444273</x:v>
      </x:c>
      <x:c r="C48" s="132" t="n">
        <x:v>1.0268556754124205</x:v>
      </x:c>
      <x:c r="D48" s="132" t="n">
        <x:v>-0.37385338841487226</x:v>
      </x:c>
      <x:c r="E48" s="132" t="n">
        <x:v>-1.177383949531368</x:v>
      </x:c>
      <x:c r="F48" s="132" t="n">
        <x:v>-0.5750303344513128</x:v>
      </x:c>
      <x:c r="G48" s="132" t="n">
        <x:v>2.177735329955823</x:v>
      </x:c>
      <x:c r="H48" s="132" t="n">
        <x:v>-2.2912127208575086</x:v>
      </x:c>
      <x:c r="I48" s="132" t="n">
        <x:v>2.606183316439264</x:v>
      </x:c>
      <x:c r="J48" s="132" t="n">
        <x:v>3.3797669781056</x:v>
      </x:c>
      <x:c r="K48" s="132" t="n">
        <x:v>0.17308331643926067</x:v>
      </x:c>
      <x:c r="L48" s="132" t="n">
        <x:v>0.6918872791424917</x:v>
      </x:c>
      <x:c r="M48" s="132" t="n">
        <x:v>-3.05126467004418</x:v>
      </x:c>
      <x:c r="N48" s="132" t="n">
        <x:v>5.552469665548685</x:v>
      </x:c>
      <x:c r="O48" s="132" t="n">
        <x:v>2.4501160504686297</x:v>
      </x:c>
      <x:c r="P48" s="132" t="n">
        <x:v>0.6292466115851312</x:v>
      </x:c>
      <x:c r="Q48" s="132" t="n">
        <x:v>0.3943556754124202</x:v>
      </x:c>
      <x:c r="R48" s="132" t="n">
        <x:v>1.3569205332555754</x:v>
      </x:c>
    </x:row>
    <x:row r="49">
      <x:c r="A49" s="166" t="n">
        <x:v>1.75</x:v>
      </x:c>
      <x:c r="B49" s="132" t="n">
        <x:v>3.45961235935944</x:v>
      </x:c>
      <x:c r="C49" s="132" t="n">
        <x:v>1.482741604736482</x:v>
      </x:c>
      <x:c r="D49" s="132" t="n">
        <x:v>-0.04534104160610042</x:v>
      </x:c>
      <x:c r="E49" s="132" t="n">
        <x:v>0.24107532462040382</x:v>
      </x:c>
      <x:c r="F49" s="132" t="n">
        <x:v>-2.958037236831263</x:v>
      </x:c>
      <x:c r="G49" s="132" t="n">
        <x:v>-4.741970675444133</x:v>
      </x:c>
      <x:c r="H49" s="132" t="n">
        <x:v>-1.6403576025901216</x:v>
      </x:c>
      <x:c r="I49" s="132" t="n">
        <x:v>0.03520336811558167</x:v>
      </x:c>
      <x:c r="J49" s="132" t="n">
        <x:v>1.3032315268907482</x:v>
      </x:c>
      <x:c r="K49" s="132" t="n">
        <x:v>-4.12269663188442</x:v>
      </x:c>
      <x:c r="L49" s="132" t="n">
        <x:v>-3.9978576025901233</x:v>
      </x:c>
      <x:c r="M49" s="132" t="n">
        <x:v>0.08672932455586846</x:v>
      </x:c>
      <x:c r="N49" s="132" t="n">
        <x:v>-3.343737236831263</x:v>
      </x:c>
      <x:c r="O49" s="132" t="n">
        <x:v>1.7280753246204057</x:v>
      </x:c>
      <x:c r="P49" s="132" t="n">
        <x:v>4.898858958393902</x:v>
      </x:c>
      <x:c r="Q49" s="132" t="n">
        <x:v>1.8389416047364833</x:v>
      </x:c>
      <x:c r="R49" s="132" t="n">
        <x:v>-2.788287640640558</x:v>
      </x:c>
    </x:row>
    <x:row r="50">
      <x:c r="A50" s="166" t="n">
        <x:v>1.5</x:v>
      </x:c>
      <x:c r="B50" s="132" t="n">
        <x:v>1.4375409646665176</x:v>
      </x:c>
      <x:c r="C50" s="132" t="n">
        <x:v>5.137893464352253</x:v>
      </x:c>
      <x:c r="D50" s="132" t="n">
        <x:v>5.949856340515616</x:v>
      </x:c>
      <x:c r="E50" s="132" t="n">
        <x:v>2.399738711213253</x:v>
      </x:c>
      <x:c r="F50" s="132" t="n">
        <x:v>1.6306910023450527</x:v>
      </x:c>
      <x:c r="G50" s="132" t="n">
        <x:v>-2.2158465672855066</x:v>
      </x:c>
      <x:c r="H50" s="132" t="n">
        <x:v>-2.214246820513626</x:v>
      </x:c>
      <x:c r="I50" s="132" t="n">
        <x:v>1.6084050439290465</x:v>
      </x:c>
      <x:c r="J50" s="132" t="n">
        <x:v>-0.048764733362716584</x:v>
      </x:c>
      <x:c r="K50" s="132" t="n">
        <x:v>-2.714194956070955</x:v>
      </x:c>
      <x:c r="L50" s="132" t="n">
        <x:v>-0.1976468205136257</x:v>
      </x:c>
      <x:c r="M50" s="132" t="n">
        <x:v>0.8143534327144941</x:v>
      </x:c>
      <x:c r="N50" s="132" t="n">
        <x:v>2.052391002345054</x:v>
      </x:c>
      <x:c r="O50" s="132" t="n">
        <x:v>-0.23396128878674816</x:v>
      </x:c>
      <x:c r="P50" s="132" t="n">
        <x:v>-0.6187436594843874</x:v>
      </x:c>
      <x:c r="Q50" s="132" t="n">
        <x:v>-0.021606535647748615</x:v>
      </x:c>
      <x:c r="R50" s="132" t="n">
        <x:v>0.34504096466651646</x:v>
      </x:c>
    </x:row>
    <x:row r="51">
      <x:c r="A51" s="166" t="n">
        <x:v>1.25</x:v>
      </x:c>
      <x:c r="B51" s="132" t="n">
        <x:v>2.0917522436986076</x:v>
      </x:c>
      <x:c r="C51" s="132" t="n">
        <x:v>1.8817272729990364</x:v>
      </x:c>
      <x:c r="D51" s="132" t="n">
        <x:v>-2.2593186043788123</x:v>
      </x:c>
      <x:c r="E51" s="132" t="n">
        <x:v>4.856568455520396</x:v>
      </x:c>
      <x:c r="F51" s="132" t="n">
        <x:v>3.52084710437601</x:v>
      </x:c>
      <x:c r="G51" s="132" t="n">
        <x:v>3.59408559323213</x:v>
      </x:c>
      <x:c r="H51" s="132" t="n">
        <x:v>3.7439254342290553</x:v>
      </x:c>
      <x:c r="I51" s="132" t="n">
        <x:v>0.04300433707899742</x:v>
      </x:c>
      <x:c r="J51" s="132" t="n">
        <x:v>0.09729716998210236</x:v>
      </x:c>
      <x:c r="K51" s="132" t="n">
        <x:v>-1.762095662921002</x:v>
      </x:c>
      <x:c r="L51" s="132" t="n">
        <x:v>-0.9315745657709478</x:v>
      </x:c>
      <x:c r="M51" s="132" t="n">
        <x:v>-0.9437144067678673</x:v>
      </x:c>
      <x:c r="N51" s="132" t="n">
        <x:v>0.18634710437601498</x:v>
      </x:c>
      <x:c r="O51" s="132" t="n">
        <x:v>1.3990684555203998</x:v>
      </x:c>
      <x:c r="P51" s="132" t="n">
        <x:v>-0.5517186043788129</x:v>
      </x:c>
      <x:c r="Q51" s="132" t="n">
        <x:v>-0.59387272700096</x:v>
      </x:c>
      <x:c r="R51" s="132" t="n">
        <x:v>-0.7244477563013945</x:v>
      </x:c>
    </x:row>
    <x:row r="52">
      <x:c r="A52" s="166" t="n">
        <x:v>1</x:v>
      </x:c>
      <x:c r="B52" s="132" t="n">
        <x:v>1.1411647553859439</x:v>
      </x:c>
      <x:c r="C52" s="132" t="n">
        <x:v>2.6013819930572097</x:v>
      </x:c>
      <x:c r="D52" s="132" t="n">
        <x:v>-0.520264075920565</x:v>
      </x:c>
      <x:c r="E52" s="132" t="n">
        <x:v>2.1877561093023488</x:v>
      </x:c>
      <x:c r="F52" s="132" t="n">
        <x:v>1.835476086700563</x:v>
      </x:c>
      <x:c r="G52" s="132" t="n">
        <x:v>0.7658447982691143</x:v>
      </x:c>
      <x:c r="H52" s="132" t="n">
        <x:v>-0.34543951496231884</x:v>
      </x:c>
      <x:c r="I52" s="132" t="n">
        <x:v>1.2532825241181484</x:v>
      </x:c>
      <x:c r="J52" s="132" t="n">
        <x:v>2.1800523111790078</x:v>
      </x:c>
      <x:c r="K52" s="132" t="n">
        <x:v>-1.4484174758818504</x:v>
      </x:c>
      <x:c r="L52" s="132" t="n">
        <x:v>0.7009604850376796</x:v>
      </x:c>
      <x:c r="M52" s="132" t="n">
        <x:v>0.7231447982691144</x:v>
      </x:c>
      <x:c r="N52" s="132" t="n">
        <x:v>-0.7058239132994366</x:v>
      </x:c>
      <x:c r="O52" s="132" t="n">
        <x:v>-0.6421438906976498</x:v>
      </x:c>
      <x:c r="P52" s="132" t="n">
        <x:v>-2.6424640759205644</x:v>
      </x:c>
      <x:c r="Q52" s="132" t="n">
        <x:v>-1.7448180069427899</x:v>
      </x:c>
      <x:c r="R52" s="132" t="n">
        <x:v>-2.7674352446140595</x:v>
      </x:c>
    </x:row>
    <x:row r="53">
      <x:c r="A53" s="166" t="n">
        <x:v>0.75</x:v>
      </x:c>
      <x:c r="B53" s="132" t="n">
        <x:v>0.8873537222931702</x:v>
      </x:c>
      <x:c r="C53" s="132" t="n">
        <x:v>0.5794823540623248</x:v>
      </x:c>
      <x:c r="D53" s="132" t="n">
        <x:v>1.3071017543847177</x:v>
      </x:c>
      <x:c r="E53" s="132" t="n">
        <x:v>0.74842273592445</x:v>
      </x:c>
      <x:c r="F53" s="132" t="n">
        <x:v>0.6429749997568805</x:v>
      </x:c>
      <x:c r="G53" s="132" t="n">
        <x:v>0.48474232721891397</x:v>
      </x:c>
      <x:c r="H53" s="132" t="n">
        <x:v>0.962754824740653</x:v>
      </x:c>
      <x:c r="I53" s="132" t="n">
        <x:v>-2.2008292217622554</x:v>
      </x:c>
      <x:c r="J53" s="132" t="n">
        <x:v>-2.2478859872441994</x:v>
      </x:c>
      <x:c r="K53" s="132" t="n">
        <x:v>0.5997707782377475</x:v>
      </x:c>
      <x:c r="L53" s="132" t="n">
        <x:v>0.6978548247406522</x:v>
      </x:c>
      <x:c r="M53" s="132" t="n">
        <x:v>1.6190423272189172</x:v>
      </x:c>
      <x:c r="N53" s="132" t="n">
        <x:v>-0.48402500024311834</x:v>
      </x:c>
      <x:c r="O53" s="132" t="n">
        <x:v>0.4194227359244458</x:v>
      </x:c>
      <x:c r="P53" s="132" t="n">
        <x:v>1.3220017543847185</x:v>
      </x:c>
      <x:c r="Q53" s="132" t="n">
        <x:v>-5.910017645937678</x:v>
      </x:c>
      <x:c r="R53" s="132" t="n">
        <x:v>-0.3095462777068292</x:v>
      </x:c>
    </x:row>
    <x:row r="54">
      <x:c r="A54" s="166" t="n">
        <x:v>0.5</x:v>
      </x:c>
      <x:c r="B54" s="132" t="n">
        <x:v>0.6402059624346279</x:v>
      </x:c>
      <x:c r="C54" s="132" t="n">
        <x:v>1.0694956160882043</x:v>
      </x:c>
      <x:c r="D54" s="132" t="n">
        <x:v>-1.4425655583506725</x:v>
      </x:c>
      <x:c r="E54" s="132" t="n">
        <x:v>2.303196239959753</x:v>
      </x:c>
      <x:c r="F54" s="132" t="n">
        <x:v>-1.5516775418901858</x:v>
      </x:c>
      <x:c r="G54" s="132" t="n">
        <x:v>-2.9128083845117665</x:v>
      </x:c>
      <x:c r="H54" s="132" t="n">
        <x:v>2.1152402781657393</x:v>
      </x:c>
      <x:c r="I54" s="132" t="n">
        <x:v>-0.676778350424506</x:v>
      </x:c>
      <x:c r="J54" s="132" t="n">
        <x:v>0.029349647268116286</x:v>
      </x:c>
      <x:c r="K54" s="132" t="n">
        <x:v>2.8234216495754936</x:v>
      </x:c>
      <x:c r="L54" s="132" t="n">
        <x:v>1.94574027816574</x:v>
      </x:c>
      <x:c r="M54" s="132" t="n">
        <x:v>1.013791615488234</x:v>
      </x:c>
      <x:c r="N54" s="132" t="n">
        <x:v>1.845822458109808</x:v>
      </x:c>
      <x:c r="O54" s="132" t="n">
        <x:v>-1.3018037600402472</x:v>
      </x:c>
      <x:c r="P54" s="132" t="n">
        <x:v>1.5469344416493271</x:v>
      </x:c>
      <x:c r="Q54" s="132" t="n">
        <x:v>2.4005956160881965</x:v>
      </x:c>
      <x:c r="R54" s="132" t="n">
        <x:v>1.7554059624346294</x:v>
      </x:c>
    </x:row>
    <x:row r="55">
      <x:c r="A55" s="166" t="n">
        <x:v>0.25</x:v>
      </x:c>
      <x:c r="B55" s="132" t="n">
        <x:v>2.8684229385637536</x:v>
      </x:c>
      <x:c r="C55" s="132" t="n">
        <x:v>-1.9251566047717361</x:v>
      </x:c>
      <x:c r="D55" s="132" t="n">
        <x:v>1.2959174289600845</x:v>
      </x:c>
      <x:c r="E55" s="132" t="n">
        <x:v>1.244872413598575</x:v>
      </x:c>
      <x:c r="F55" s="132" t="n">
        <x:v>-1.4752601578747786</x:v>
      </x:c>
      <x:c r="G55" s="132" t="n">
        <x:v>3.535981726393942</x:v>
      </x:c>
      <x:c r="H55" s="132" t="n">
        <x:v>-1.2514609879449665</x:v>
      </x:c>
      <x:c r="I55" s="132" t="n">
        <x:v>0.6633672546949327</x:v>
      </x:c>
      <x:c r="J55" s="132" t="n">
        <x:v>3.2975827567434983</x:v>
      </x:c>
      <x:c r="K55" s="132" t="n">
        <x:v>0.7055672546949339</x:v>
      </x:c>
      <x:c r="L55" s="132" t="n">
        <x:v>0.8969390120550358</x:v>
      </x:c>
      <x:c r="M55" s="132" t="n">
        <x:v>0.641781726393944</x:v>
      </x:c>
      <x:c r="N55" s="132" t="n">
        <x:v>-3.4209601578747844</x:v>
      </x:c>
      <x:c r="O55" s="132" t="n">
        <x:v>-0.7873275864014317</x:v>
      </x:c>
      <x:c r="P55" s="132" t="n">
        <x:v>-2.707982571039917</x:v>
      </x:c>
      <x:c r="Q55" s="132" t="n">
        <x:v>1.7588433952282578</x:v>
      </x:c>
      <x:c r="R55" s="132" t="n">
        <x:v>-1.7880770614362476</x:v>
      </x:c>
    </x:row>
    <x:row r="56">
      <x:c r="A56" s="166" t="n">
        <x:v>0</x:v>
      </x:c>
      <x:c r="B56" s="132" t="n">
        <x:v>2.274354027284101</x:v>
      </x:c>
      <x:c r="C56" s="132" t="n">
        <x:v>4.050130952524217</x:v>
      </x:c>
      <x:c r="D56" s="132" t="n">
        <x:v>-1.489054519945931</x:v>
      </x:c>
      <x:c r="E56" s="132" t="n">
        <x:v>-3.7221621171885566</x:v>
      </x:c>
      <x:c r="F56" s="132" t="n">
        <x:v>2.338564459371561</x:v>
      </x:c>
      <x:c r="G56" s="132" t="n">
        <x:v>-1.5200552658231068</x:v>
      </x:c>
      <x:c r="H56" s="132" t="n">
        <x:v>0.26250717597559614</x:v>
      </x:c>
      <x:c r="I56" s="132" t="n">
        <x:v>0.36856563829412714</x:v>
      </x:c>
      <x:c r="J56" s="132" t="n">
        <x:v>-0.849609687213448</x:v>
      </x:c>
      <x:c r="K56" s="132" t="n">
        <x:v>1.7406656382941286</x:v>
      </x:c>
      <x:c r="L56" s="132" t="n">
        <x:v>1.8169071759755973</x:v>
      </x:c>
      <x:c r="M56" s="132" t="n">
        <x:v>0.7716447341768955</x:v>
      </x:c>
      <x:c r="N56" s="132" t="n">
        <x:v>0.06346445937155565</x:v>
      </x:c>
      <x:c r="O56" s="132" t="n">
        <x:v>0.41703788281143517</x:v>
      </x:c>
      <x:c r="P56" s="132" t="n">
        <x:v>-1.947454519945932</x:v>
      </x:c>
      <x:c r="Q56" s="132" t="n">
        <x:v>-0.401069047475783</x:v>
      </x:c>
      <x:c r="R56" s="132" t="n">
        <x:v>-0.1588459727159055</x:v>
      </x:c>
    </x:row>
    <x:row r="57">
      <x:c r="A57" s="166" t="n">
        <x:v>-0.25</x:v>
      </x:c>
      <x:c r="B57" s="132" t="n">
        <x:v>5.014022938563755</x:v>
      </x:c>
      <x:c r="C57" s="132" t="n">
        <x:v>-0.4435566047717394</x:v>
      </x:c>
      <x:c r="D57" s="132" t="n">
        <x:v>-2.3183825710399155</x:v>
      </x:c>
      <x:c r="E57" s="132" t="n">
        <x:v>1.8313724135985758</x:v>
      </x:c>
      <x:c r="F57" s="132" t="n">
        <x:v>-1.2659601578747797</x:v>
      </x:c>
      <x:c r="G57" s="132" t="n">
        <x:v>-2.396218273606056</x:v>
      </x:c>
      <x:c r="H57" s="132" t="n">
        <x:v>-0.9870609879449646</x:v>
      </x:c>
      <x:c r="I57" s="132" t="n">
        <x:v>0.0010672546949344053</x:v>
      </x:c>
      <x:c r="J57" s="132" t="n">
        <x:v>2.2770827567434964</x:v>
      </x:c>
      <x:c r="K57" s="132" t="n">
        <x:v>0.6107672546949345</x:v>
      </x:c>
      <x:c r="L57" s="132" t="n">
        <x:v>2.1262390120550343</x:v>
      </x:c>
      <x:c r="M57" s="132" t="n">
        <x:v>1.385081726393942</x:v>
      </x:c>
      <x:c r="N57" s="132" t="n">
        <x:v>2.025439842125216</x:v>
      </x:c>
      <x:c r="O57" s="132" t="n">
        <x:v>-0.6413275864014345</x:v>
      </x:c>
      <x:c r="P57" s="132" t="n">
        <x:v>-0.2869825710399141</x:v>
      </x:c>
      <x:c r="Q57" s="132" t="n">
        <x:v>2.917143395228262</x:v>
      </x:c>
      <x:c r="R57" s="132" t="n">
        <x:v>1.6512229385637553</x:v>
      </x:c>
    </x:row>
    <x:row r="58">
      <x:c r="A58" s="166" t="n">
        <x:v>-0.5</x:v>
      </x:c>
      <x:c r="B58" s="132" t="n">
        <x:v>2.4792059624346336</x:v>
      </x:c>
      <x:c r="C58" s="132" t="n">
        <x:v>-0.316904383911794</x:v>
      </x:c>
      <x:c r="D58" s="132" t="n">
        <x:v>3.1809344416493275</x:v>
      </x:c>
      <x:c r="E58" s="132" t="n">
        <x:v>0.7797962399597544</x:v>
      </x:c>
      <x:c r="F58" s="132" t="n">
        <x:v>0.34002245810981435</x:v>
      </x:c>
      <x:c r="G58" s="132" t="n">
        <x:v>1.218491615488233</x:v>
      </x:c>
      <x:c r="H58" s="132" t="n">
        <x:v>1.1290402781657392</x:v>
      </x:c>
      <x:c r="I58" s="132" t="n">
        <x:v>2.0871216495754936</x:v>
      </x:c>
      <x:c r="J58" s="132" t="n">
        <x:v>-0.7807503527318858</x:v>
      </x:c>
      <x:c r="K58" s="132" t="n">
        <x:v>-2.9779783504245074</x:v>
      </x:c>
      <x:c r="L58" s="132" t="n">
        <x:v>0.6059402781657397</x:v>
      </x:c>
      <x:c r="M58" s="132" t="n">
        <x:v>-0.5165083845117664</x:v>
      </x:c>
      <x:c r="N58" s="132" t="n">
        <x:v>0.06772245810980593</x:v>
      </x:c>
      <x:c r="O58" s="132" t="n">
        <x:v>3.6128962399597526</x:v>
      </x:c>
      <x:c r="P58" s="132" t="n">
        <x:v>-1.5815655583506718</x:v>
      </x:c>
      <x:c r="Q58" s="132" t="n">
        <x:v>2.228795616088199</x:v>
      </x:c>
      <x:c r="R58" s="132" t="n">
        <x:v>2.720405962434633</x:v>
      </x:c>
    </x:row>
    <x:row r="59">
      <x:c r="A59" s="166" t="n">
        <x:v>-0.75</x:v>
      </x:c>
      <x:c r="B59" s="132" t="n">
        <x:v>0.33955372229317504</x:v>
      </x:c>
      <x:c r="C59" s="132" t="n">
        <x:v>-3.8124176459376784</x:v>
      </x:c>
      <x:c r="D59" s="132" t="n">
        <x:v>-1.8213982456152813</x:v>
      </x:c>
      <x:c r="E59" s="132" t="n">
        <x:v>-1.7961772640755491</x:v>
      </x:c>
      <x:c r="F59" s="132" t="n">
        <x:v>0.7222749997568805</x:v>
      </x:c>
      <x:c r="G59" s="132" t="n">
        <x:v>-0.46575767278108415</x:v>
      </x:c>
      <x:c r="H59" s="132" t="n">
        <x:v>3.7332548247406514</x:v>
      </x:c>
      <x:c r="I59" s="132" t="n">
        <x:v>0.36937077823774445</x:v>
      </x:c>
      <x:c r="J59" s="132" t="n">
        <x:v>-2.0272859872441984</x:v>
      </x:c>
      <x:c r="K59" s="132" t="n">
        <x:v>-2.954929221762253</x:v>
      </x:c>
      <x:c r="L59" s="132" t="n">
        <x:v>-3.2966451752593464</x:v>
      </x:c>
      <x:c r="M59" s="132" t="n">
        <x:v>1.1506423272189146</x:v>
      </x:c>
      <x:c r="N59" s="132" t="n">
        <x:v>1.3455749997568809</x:v>
      </x:c>
      <x:c r="O59" s="132" t="n">
        <x:v>-1.613777264075555</x:v>
      </x:c>
      <x:c r="P59" s="132" t="n">
        <x:v>-0.35999824561528015</x:v>
      </x:c>
      <x:c r="Q59" s="132" t="n">
        <x:v>-1.3944176459376756</x:v>
      </x:c>
      <x:c r="R59" s="132" t="n">
        <x:v>-2.7167462777068287</x:v>
      </x:c>
    </x:row>
    <x:row r="60">
      <x:c r="A60" s="166" t="n">
        <x:v>-1</x:v>
      </x:c>
      <x:c r="B60" s="132" t="n">
        <x:v>-2.8481352446140598</x:v>
      </x:c>
      <x:c r="C60" s="132" t="n">
        <x:v>0.24378199305721182</x:v>
      </x:c>
      <x:c r="D60" s="132" t="n">
        <x:v>-3.8219640759205653</x:v>
      </x:c>
      <x:c r="E60" s="132" t="n">
        <x:v>-1.5640438906976506</x:v>
      </x:c>
      <x:c r="F60" s="132" t="n">
        <x:v>4.3783760867005626</x:v>
      </x:c>
      <x:c r="G60" s="132" t="n">
        <x:v>-1.2517552017308837</x:v>
      </x:c>
      <x:c r="H60" s="132" t="n">
        <x:v>2.0176604850376805</x:v>
      </x:c>
      <x:c r="I60" s="132" t="n">
        <x:v>0.7460825241181475</x:v>
      </x:c>
      <x:c r="J60" s="132" t="n">
        <x:v>-0.3895476888209899</x:v>
      </x:c>
      <x:c r="K60" s="132" t="n">
        <x:v>-1.3225174758818525</x:v>
      </x:c>
      <x:c r="L60" s="132" t="n">
        <x:v>2.3591604850376804</x:v>
      </x:c>
      <x:c r="M60" s="132" t="n">
        <x:v>-0.42725520173088327</x:v>
      </x:c>
      <x:c r="N60" s="132" t="n">
        <x:v>2.9760760867005587</x:v>
      </x:c>
      <x:c r="O60" s="132" t="n">
        <x:v>-1.5426438906976507</x:v>
      </x:c>
      <x:c r="P60" s="132" t="n">
        <x:v>0.07213592407943636</x:v>
      </x:c>
      <x:c r="Q60" s="132" t="n">
        <x:v>0.9821819930572104</x:v>
      </x:c>
      <x:c r="R60" s="132" t="n">
        <x:v>0.8186647553859387</x:v>
      </x:c>
    </x:row>
    <x:row r="61">
      <x:c r="A61" s="166" t="n">
        <x:v>-1.25</x:v>
      </x:c>
      <x:c r="B61" s="132" t="n">
        <x:v>0.4668522436986109</x:v>
      </x:c>
      <x:c r="C61" s="132" t="n">
        <x:v>-1.428872727000961</x:v>
      </x:c>
      <x:c r="D61" s="132" t="n">
        <x:v>2.731181395621192</x:v>
      </x:c>
      <x:c r="E61" s="132" t="n">
        <x:v>-2.0293315444796036</x:v>
      </x:c>
      <x:c r="F61" s="132" t="n">
        <x:v>-3.0580528956239874</x:v>
      </x:c>
      <x:c r="G61" s="132" t="n">
        <x:v>-2.0372144067678697</x:v>
      </x:c>
      <x:c r="H61" s="132" t="n">
        <x:v>-2.063074565770947</x:v>
      </x:c>
      <x:c r="I61" s="132" t="n">
        <x:v>-1.9928956629210042</x:v>
      </x:c>
      <x:c r="J61" s="132" t="n">
        <x:v>-1.1091028300178998</x:v>
      </x:c>
      <x:c r="K61" s="132" t="n">
        <x:v>2.6069043370789977</x:v>
      </x:c>
      <x:c r="L61" s="132" t="n">
        <x:v>0.616425434229054</x:v>
      </x:c>
      <x:c r="M61" s="132" t="n">
        <x:v>-0.5334144067678679</x:v>
      </x:c>
      <x:c r="N61" s="132" t="n">
        <x:v>0.04144710437601162</x:v>
      </x:c>
      <x:c r="O61" s="132" t="n">
        <x:v>-0.8339315444796007</x:v>
      </x:c>
      <x:c r="P61" s="132" t="n">
        <x:v>2.310681395621188</x:v>
      </x:c>
      <x:c r="Q61" s="132" t="n">
        <x:v>-1.3123727270009624</x:v>
      </x:c>
      <x:c r="R61" s="132" t="n">
        <x:v>2.078152243698611</x:v>
      </x:c>
    </x:row>
    <x:row r="62">
      <x:c r="A62" s="166" t="n">
        <x:v>-1.5</x:v>
      </x:c>
      <x:c r="B62" s="132" t="n">
        <x:v>-1.4203590353334832</x:v>
      </x:c>
      <x:c r="C62" s="132" t="n">
        <x:v>2.149893464352246</x:v>
      </x:c>
      <x:c r="D62" s="132" t="n">
        <x:v>-0.5934436594843859</x:v>
      </x:c>
      <x:c r="E62" s="132" t="n">
        <x:v>-0.4678612887867466</x:v>
      </x:c>
      <x:c r="F62" s="132" t="n">
        <x:v>1.6086910023450542</x:v>
      </x:c>
      <x:c r="G62" s="132" t="n">
        <x:v>2.3591534327144963</x:v>
      </x:c>
      <x:c r="H62" s="132" t="n">
        <x:v>0.8894531794863738</x:v>
      </x:c>
      <x:c r="I62" s="132" t="n">
        <x:v>-0.8910949560709547</x:v>
      </x:c>
      <x:c r="J62" s="132" t="n">
        <x:v>-1.3278647333627163</x:v>
      </x:c>
      <x:c r="K62" s="132" t="n">
        <x:v>3.4249050439290443</x:v>
      </x:c>
      <x:c r="L62" s="132" t="n">
        <x:v>1.6203531794863757</x:v>
      </x:c>
      <x:c r="M62" s="132" t="n">
        <x:v>1.8807534327144957</x:v>
      </x:c>
      <x:c r="N62" s="132" t="n">
        <x:v>5.053191002345059</x:v>
      </x:c>
      <x:c r="O62" s="132" t="n">
        <x:v>-1.4980612887867473</x:v>
      </x:c>
      <x:c r="P62" s="132" t="n">
        <x:v>5.9980563405156175</x:v>
      </x:c>
      <x:c r="Q62" s="132" t="n">
        <x:v>6.290493464352252</x:v>
      </x:c>
      <x:c r="R62" s="132" t="n">
        <x:v>3.960240964666518</x:v>
      </x:c>
    </x:row>
    <x:row r="63">
      <x:c r="A63" s="166" t="n">
        <x:v>-1.75</x:v>
      </x:c>
      <x:c r="B63" s="132" t="n">
        <x:v>3.30401235935944</x:v>
      </x:c>
      <x:c r="C63" s="132" t="n">
        <x:v>2.578541604736479</x:v>
      </x:c>
      <x:c r="D63" s="132" t="n">
        <x:v>3.7408589583939005</x:v>
      </x:c>
      <x:c r="E63" s="132" t="n">
        <x:v>-1.9742246753795918</x:v>
      </x:c>
      <x:c r="F63" s="132" t="n">
        <x:v>1.0540627631687371</x:v>
      </x:c>
      <x:c r="G63" s="132" t="n">
        <x:v>-2.0505706754441313</x:v>
      </x:c>
      <x:c r="H63" s="132" t="n">
        <x:v>3.6224423974098805</x:v>
      </x:c>
      <x:c r="I63" s="132" t="n">
        <x:v>-0.8883966318844188</x:v>
      </x:c>
      <x:c r="J63" s="132" t="n">
        <x:v>4.645231526890747</x:v>
      </x:c>
      <x:c r="K63" s="132" t="n">
        <x:v>2.0721033681155774</x:v>
      </x:c>
      <x:c r="L63" s="132" t="n">
        <x:v>0.34764239740988145</x:v>
      </x:c>
      <x:c r="M63" s="132" t="n">
        <x:v>0.16302932455586472</x:v>
      </x:c>
      <x:c r="N63" s="132" t="n">
        <x:v>2.1417627631687353</x:v>
      </x:c>
      <x:c r="O63" s="132" t="n">
        <x:v>-0.3964246753795919</x:v>
      </x:c>
      <x:c r="P63" s="132" t="n">
        <x:v>-2.4554410416060968</x:v>
      </x:c>
      <x:c r="Q63" s="132" t="n">
        <x:v>0.37674160473648044</x:v>
      </x:c>
      <x:c r="R63" s="132" t="n">
        <x:v>1.955212359359443</x:v>
      </x:c>
    </x:row>
    <x:row r="64">
      <x:c r="A64" s="166" t="n">
        <x:v>-2</x:v>
      </x:c>
      <x:c r="B64" s="132" t="n">
        <x:v>-1.5837794667444314</x:v>
      </x:c>
      <x:c r="C64" s="132" t="n">
        <x:v>0.8797556754124187</x:v>
      </x:c>
      <x:c r="D64" s="132" t="n">
        <x:v>-4.057153388414868</x:v>
      </x:c>
      <x:c r="E64" s="132" t="n">
        <x:v>3.5739160504686325</x:v>
      </x:c>
      <x:c r="F64" s="132" t="n">
        <x:v>1.8444696655486865</x:v>
      </x:c>
      <x:c r="G64" s="132" t="n">
        <x:v>-0.24806467004417954</x:v>
      </x:c>
      <x:c r="H64" s="132" t="n">
        <x:v>-0.26621272085751</x:v>
      </x:c>
      <x:c r="I64" s="132" t="n">
        <x:v>1.1410833164392642</x:v>
      </x:c>
      <x:c r="J64" s="132" t="n">
        <x:v>-0.11723302189439977</x:v>
      </x:c>
      <x:c r="K64" s="132" t="n">
        <x:v>-0.0006166835607359644</x:v>
      </x:c>
      <x:c r="L64" s="132" t="n">
        <x:v>2.1511872791424906</x:v>
      </x:c>
      <x:c r="M64" s="132" t="n">
        <x:v>1.7191353299558187</x:v>
      </x:c>
      <x:c r="N64" s="132" t="n">
        <x:v>0.4318696655486818</x:v>
      </x:c>
      <x:c r="O64" s="132" t="n">
        <x:v>0.40551605046862704</x:v>
      </x:c>
      <x:c r="P64" s="132" t="n">
        <x:v>0.9985466115851338</x:v>
      </x:c>
      <x:c r="Q64" s="132" t="n">
        <x:v>-0.7901443245875797</x:v>
      </x:c>
      <x:c r="R64" s="132" t="n">
        <x:v>-0.2854794667444267</x:v>
      </x:c>
    </x:row>
  </x:sheetData>
  <x:mergeCells>
    <x:mergeCell ref="A1:R1"/>
    <x:mergeCell ref="A23:R23"/>
    <x:mergeCell ref="A45:R45"/>
  </x:mergeCells>
  <x:conditionalFormatting sqref="B4:R20">
    <x:cfRule type="colorScale" priority="1">
      <x:colorScale>
        <x:cfvo type="min"/>
        <x:cfvo type="percentile" val="50"/>
        <x:cfvo type="max"/>
        <x:color rgb="FF2F75B5"/>
        <x:color rgb="FFFFF2CC"/>
        <x:color rgb="FFC6E0B4"/>
      </x:colorScale>
    </x:cfRule>
  </x:conditionalFormatting>
  <x:conditionalFormatting sqref="B26:R42">
    <x:cfRule type="colorScale" priority="2">
      <x:colorScale>
        <x:cfvo type="min"/>
        <x:cfvo type="percentile" val="50"/>
        <x:cfvo type="max"/>
        <x:color rgb="FF2F75B5"/>
        <x:color rgb="FFFFF2CC"/>
        <x:color rgb="FFC6E0B4"/>
      </x:colorScale>
    </x:cfRule>
  </x:conditionalFormatting>
  <x:conditionalFormatting sqref="B48:R64">
    <x:cfRule type="colorScale" priority="3">
      <x:colorScale>
        <x:cfvo type="min"/>
        <x:cfvo type="num" val="0"/>
        <x:cfvo type="max"/>
        <x:color rgb="FF5B9BD5"/>
        <x:color rgb="FFFFFFFF"/>
        <x:color rgb="FFF8696B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4" hidden="0" customWidth="1"/>
    <x:col min="3" max="3" width="14" hidden="0" customWidth="1"/>
    <x:col min="4" max="4" width="22" hidden="0" customWidth="1"/>
    <x:col min="5" max="5" width="10" hidden="0" customWidth="1"/>
    <x:col min="6" max="6" width="10" hidden="0" customWidth="1"/>
    <x:col min="7" max="7" width="18" hidden="0" customWidth="1"/>
  </x:cols>
  <x:sheetData>
    <x:row r="1">
      <x:c r="A1" s="138" t="str">
        <x:v>DADOS BRUTOS REAIS — d = 0,40 m — ORDEM DE AQUISIÇÃO</x:v>
      </x:c>
      <x:c r="B1" s="138"/>
      <x:c r="C1" s="138"/>
      <x:c r="D1" s="138"/>
      <x:c r="E1" s="138"/>
      <x:c r="F1" s="138"/>
      <x:c r="G1" s="138"/>
    </x:row>
    <x:row r="2">
      <x:c r="A2" s="167" t="str">
        <x:v>R_ref(62%) = 40,1 Ω; uma leitura por ponto; nenhuma suavização, interpolação, exclusão ou correção aplicada.</x:v>
      </x:c>
      <x:c r="B2" s="167"/>
      <x:c r="C2" s="167"/>
      <x:c r="D2" s="167"/>
      <x:c r="E2" s="167"/>
      <x:c r="F2" s="167"/>
      <x:c r="G2" s="167"/>
    </x:row>
    <x:row r="4">
      <x:c r="A4" s="147" t="str">
        <x:v>Sequência</x:v>
      </x:c>
      <x:c r="B4" s="147" t="str">
        <x:v>Linha</x:v>
      </x:c>
      <x:c r="C4" s="147" t="str">
        <x:v>Posição na linha</x:v>
      </x:c>
      <x:c r="D4" s="147" t="str">
        <x:v>Sentido</x:v>
      </x:c>
      <x:c r="E4" s="147" t="str">
        <x:v>x (m)</x:v>
      </x:c>
      <x:c r="F4" s="147" t="str">
        <x:v>y (m)</x:v>
      </x:c>
      <x:c r="G4" s="147" t="str">
        <x:v>R_MTR bruto (Ω)</x:v>
      </x:c>
    </x:row>
    <x:row r="5">
      <x:c r="A5" s="40" t="n">
        <x:v>1</x:v>
      </x:c>
      <x:c r="B5" s="40" t="n">
        <x:v>1</x:v>
      </x:c>
      <x:c r="C5" s="40" t="n">
        <x:v>1</x:v>
      </x:c>
      <x:c r="D5" s="36" t="str">
        <x:v>esquerda → direita</x:v>
      </x:c>
      <x:c r="E5" s="41" t="n">
        <x:v>-0.8</x:v>
      </x:c>
      <x:c r="F5" s="41" t="n">
        <x:v>-2</x:v>
      </x:c>
      <x:c r="G5" s="134" t="n">
        <x:v>32.8734</x:v>
      </x:c>
    </x:row>
    <x:row r="6">
      <x:c r="A6" s="40" t="n">
        <x:v>2</x:v>
      </x:c>
      <x:c r="B6" s="40" t="n">
        <x:v>1</x:v>
      </x:c>
      <x:c r="C6" s="40" t="n">
        <x:v>2</x:v>
      </x:c>
      <x:c r="D6" s="36" t="str">
        <x:v>esquerda → direita</x:v>
      </x:c>
      <x:c r="E6" s="41" t="n">
        <x:v>-0.55</x:v>
      </x:c>
      <x:c r="F6" s="41" t="n">
        <x:v>-2</x:v>
      </x:c>
      <x:c r="G6" s="134" t="n">
        <x:v>35.0134</x:v>
      </x:c>
    </x:row>
    <x:row r="7">
      <x:c r="A7" s="40" t="n">
        <x:v>3</x:v>
      </x:c>
      <x:c r="B7" s="40" t="n">
        <x:v>1</x:v>
      </x:c>
      <x:c r="C7" s="40" t="n">
        <x:v>3</x:v>
      </x:c>
      <x:c r="D7" s="36" t="str">
        <x:v>esquerda → direita</x:v>
      </x:c>
      <x:c r="E7" s="41" t="n">
        <x:v>-0.30000000000000004</x:v>
      </x:c>
      <x:c r="F7" s="41" t="n">
        <x:v>-2</x:v>
      </x:c>
      <x:c r="G7" s="134" t="n">
        <x:v>29.7554</x:v>
      </x:c>
    </x:row>
    <x:row r="8">
      <x:c r="A8" s="40" t="n">
        <x:v>4</x:v>
      </x:c>
      <x:c r="B8" s="40" t="n">
        <x:v>1</x:v>
      </x:c>
      <x:c r="C8" s="40" t="n">
        <x:v>4</x:v>
      </x:c>
      <x:c r="D8" s="36" t="str">
        <x:v>esquerda → direita</x:v>
      </x:c>
      <x:c r="E8" s="41" t="n">
        <x:v>-0.050000000000000044</x:v>
      </x:c>
      <x:c r="F8" s="41" t="n">
        <x:v>-2</x:v>
      </x:c>
      <x:c r="G8" s="134" t="n">
        <x:v>37.0802</x:v>
      </x:c>
    </x:row>
    <x:row r="9">
      <x:c r="A9" s="40" t="n">
        <x:v>5</x:v>
      </x:c>
      <x:c r="B9" s="40" t="n">
        <x:v>1</x:v>
      </x:c>
      <x:c r="C9" s="40" t="n">
        <x:v>5</x:v>
      </x:c>
      <x:c r="D9" s="36" t="str">
        <x:v>esquerda → direita</x:v>
      </x:c>
      <x:c r="E9" s="41" t="n">
        <x:v>0.19999999999999996</x:v>
      </x:c>
      <x:c r="F9" s="41" t="n">
        <x:v>-2</x:v>
      </x:c>
      <x:c r="G9" s="134" t="n">
        <x:v>35.0735</x:v>
      </x:c>
    </x:row>
    <x:row r="10">
      <x:c r="A10" s="40" t="n">
        <x:v>6</x:v>
      </x:c>
      <x:c r="B10" s="40" t="n">
        <x:v>1</x:v>
      </x:c>
      <x:c r="C10" s="40" t="n">
        <x:v>6</x:v>
      </x:c>
      <x:c r="D10" s="36" t="str">
        <x:v>esquerda → direita</x:v>
      </x:c>
      <x:c r="E10" s="41" t="n">
        <x:v>0.44999999999999996</x:v>
      </x:c>
      <x:c r="F10" s="41" t="n">
        <x:v>-2</x:v>
      </x:c>
      <x:c r="G10" s="134" t="n">
        <x:v>32.7472</x:v>
      </x:c>
    </x:row>
    <x:row r="11">
      <x:c r="A11" s="40" t="n">
        <x:v>7</x:v>
      </x:c>
      <x:c r="B11" s="40" t="n">
        <x:v>1</x:v>
      </x:c>
      <x:c r="C11" s="40" t="n">
        <x:v>7</x:v>
      </x:c>
      <x:c r="D11" s="36" t="str">
        <x:v>esquerda → direita</x:v>
      </x:c>
      <x:c r="E11" s="41" t="n">
        <x:v>0.7</x:v>
      </x:c>
      <x:c r="F11" s="41" t="n">
        <x:v>-2</x:v>
      </x:c>
      <x:c r="G11" s="134" t="n">
        <x:v>32.5518</x:v>
      </x:c>
    </x:row>
    <x:row r="12">
      <x:c r="A12" s="40" t="n">
        <x:v>8</x:v>
      </x:c>
      <x:c r="B12" s="40" t="n">
        <x:v>1</x:v>
      </x:c>
      <x:c r="C12" s="40" t="n">
        <x:v>8</x:v>
      </x:c>
      <x:c r="D12" s="36" t="str">
        <x:v>esquerda → direita</x:v>
      </x:c>
      <x:c r="E12" s="41" t="n">
        <x:v>0.95</x:v>
      </x:c>
      <x:c r="F12" s="41" t="n">
        <x:v>-2</x:v>
      </x:c>
      <x:c r="G12" s="134" t="n">
        <x:v>33.8485</x:v>
      </x:c>
    </x:row>
    <x:row r="13">
      <x:c r="A13" s="40" t="n">
        <x:v>9</x:v>
      </x:c>
      <x:c r="B13" s="40" t="n">
        <x:v>1</x:v>
      </x:c>
      <x:c r="C13" s="40" t="n">
        <x:v>9</x:v>
      </x:c>
      <x:c r="D13" s="36" t="str">
        <x:v>esquerda → direita</x:v>
      </x:c>
      <x:c r="E13" s="41" t="n">
        <x:v>1.2</x:v>
      </x:c>
      <x:c r="F13" s="41" t="n">
        <x:v>-2</x:v>
      </x:c>
      <x:c r="G13" s="134" t="n">
        <x:v>32.5526</x:v>
      </x:c>
    </x:row>
    <x:row r="14">
      <x:c r="A14" s="40" t="n">
        <x:v>10</x:v>
      </x:c>
      <x:c r="B14" s="40" t="n">
        <x:v>1</x:v>
      </x:c>
      <x:c r="C14" s="40" t="n">
        <x:v>10</x:v>
      </x:c>
      <x:c r="D14" s="36" t="str">
        <x:v>esquerda → direita</x:v>
      </x:c>
      <x:c r="E14" s="41" t="n">
        <x:v>1.45</x:v>
      </x:c>
      <x:c r="F14" s="41" t="n">
        <x:v>-2</x:v>
      </x:c>
      <x:c r="G14" s="134" t="n">
        <x:v>32.7068</x:v>
      </x:c>
    </x:row>
    <x:row r="15">
      <x:c r="A15" s="40" t="n">
        <x:v>11</x:v>
      </x:c>
      <x:c r="B15" s="40" t="n">
        <x:v>1</x:v>
      </x:c>
      <x:c r="C15" s="40" t="n">
        <x:v>11</x:v>
      </x:c>
      <x:c r="D15" s="36" t="str">
        <x:v>esquerda → direita</x:v>
      </x:c>
      <x:c r="E15" s="41" t="n">
        <x:v>1.7</x:v>
      </x:c>
      <x:c r="F15" s="41" t="n">
        <x:v>-2</x:v>
      </x:c>
      <x:c r="G15" s="134" t="n">
        <x:v>34.9692</x:v>
      </x:c>
    </x:row>
    <x:row r="16">
      <x:c r="A16" s="40" t="n">
        <x:v>12</x:v>
      </x:c>
      <x:c r="B16" s="40" t="n">
        <x:v>1</x:v>
      </x:c>
      <x:c r="C16" s="40" t="n">
        <x:v>12</x:v>
      </x:c>
      <x:c r="D16" s="36" t="str">
        <x:v>esquerda → direita</x:v>
      </x:c>
      <x:c r="E16" s="41" t="n">
        <x:v>1.95</x:v>
      </x:c>
      <x:c r="F16" s="41" t="n">
        <x:v>-2</x:v>
      </x:c>
      <x:c r="G16" s="134" t="n">
        <x:v>34.7144</x:v>
      </x:c>
    </x:row>
    <x:row r="17">
      <x:c r="A17" s="40" t="n">
        <x:v>13</x:v>
      </x:c>
      <x:c r="B17" s="40" t="n">
        <x:v>1</x:v>
      </x:c>
      <x:c r="C17" s="40" t="n">
        <x:v>13</x:v>
      </x:c>
      <x:c r="D17" s="36" t="str">
        <x:v>esquerda → direita</x:v>
      </x:c>
      <x:c r="E17" s="41" t="n">
        <x:v>2.2</x:v>
      </x:c>
      <x:c r="F17" s="41" t="n">
        <x:v>-2</x:v>
      </x:c>
      <x:c r="G17" s="134" t="n">
        <x:v>33.6609</x:v>
      </x:c>
    </x:row>
    <x:row r="18">
      <x:c r="A18" s="40" t="n">
        <x:v>14</x:v>
      </x:c>
      <x:c r="B18" s="40" t="n">
        <x:v>1</x:v>
      </x:c>
      <x:c r="C18" s="40" t="n">
        <x:v>14</x:v>
      </x:c>
      <x:c r="D18" s="36" t="str">
        <x:v>esquerda → direita</x:v>
      </x:c>
      <x:c r="E18" s="41" t="n">
        <x:v>2.45</x:v>
      </x:c>
      <x:c r="F18" s="41" t="n">
        <x:v>-2</x:v>
      </x:c>
      <x:c r="G18" s="134" t="n">
        <x:v>33.9118</x:v>
      </x:c>
    </x:row>
    <x:row r="19">
      <x:c r="A19" s="40" t="n">
        <x:v>15</x:v>
      </x:c>
      <x:c r="B19" s="40" t="n">
        <x:v>1</x:v>
      </x:c>
      <x:c r="C19" s="40" t="n">
        <x:v>15</x:v>
      </x:c>
      <x:c r="D19" s="36" t="str">
        <x:v>esquerda → direita</x:v>
      </x:c>
      <x:c r="E19" s="41" t="n">
        <x:v>2.7</x:v>
      </x:c>
      <x:c r="F19" s="41" t="n">
        <x:v>-2</x:v>
      </x:c>
      <x:c r="G19" s="134" t="n">
        <x:v>34.8111</x:v>
      </x:c>
    </x:row>
    <x:row r="20">
      <x:c r="A20" s="40" t="n">
        <x:v>16</x:v>
      </x:c>
      <x:c r="B20" s="40" t="n">
        <x:v>1</x:v>
      </x:c>
      <x:c r="C20" s="40" t="n">
        <x:v>16</x:v>
      </x:c>
      <x:c r="D20" s="36" t="str">
        <x:v>esquerda → direita</x:v>
      </x:c>
      <x:c r="E20" s="41" t="n">
        <x:v>2.95</x:v>
      </x:c>
      <x:c r="F20" s="41" t="n">
        <x:v>-2</x:v>
      </x:c>
      <x:c r="G20" s="134" t="n">
        <x:v>33.3435</x:v>
      </x:c>
    </x:row>
    <x:row r="21">
      <x:c r="A21" s="40" t="n">
        <x:v>17</x:v>
      </x:c>
      <x:c r="B21" s="40" t="n">
        <x:v>1</x:v>
      </x:c>
      <x:c r="C21" s="40" t="n">
        <x:v>17</x:v>
      </x:c>
      <x:c r="D21" s="36" t="str">
        <x:v>esquerda → direita</x:v>
      </x:c>
      <x:c r="E21" s="41" t="n">
        <x:v>3.2</x:v>
      </x:c>
      <x:c r="F21" s="41" t="n">
        <x:v>-2</x:v>
      </x:c>
      <x:c r="G21" s="134" t="n">
        <x:v>34.1717</x:v>
      </x:c>
    </x:row>
    <x:row r="22">
      <x:c r="A22" s="40" t="n">
        <x:v>18</x:v>
      </x:c>
      <x:c r="B22" s="40" t="n">
        <x:v>2</x:v>
      </x:c>
      <x:c r="C22" s="40" t="n">
        <x:v>1</x:v>
      </x:c>
      <x:c r="D22" s="36" t="str">
        <x:v>direita → esquerda</x:v>
      </x:c>
      <x:c r="E22" s="41" t="n">
        <x:v>3.2</x:v>
      </x:c>
      <x:c r="F22" s="41" t="n">
        <x:v>-1.75</x:v>
      </x:c>
      <x:c r="G22" s="134" t="n">
        <x:v>36.0103</x:v>
      </x:c>
    </x:row>
    <x:row r="23">
      <x:c r="A23" s="40" t="n">
        <x:v>19</x:v>
      </x:c>
      <x:c r="B23" s="40" t="n">
        <x:v>2</x:v>
      </x:c>
      <x:c r="C23" s="40" t="n">
        <x:v>2</x:v>
      </x:c>
      <x:c r="D23" s="36" t="str">
        <x:v>direita → esquerda</x:v>
      </x:c>
      <x:c r="E23" s="41" t="n">
        <x:v>2.95</x:v>
      </x:c>
      <x:c r="F23" s="41" t="n">
        <x:v>-1.75</x:v>
      </x:c>
      <x:c r="G23" s="134" t="n">
        <x:v>34.0312</x:v>
      </x:c>
    </x:row>
    <x:row r="24">
      <x:c r="A24" s="40" t="n">
        <x:v>20</x:v>
      </x:c>
      <x:c r="B24" s="40" t="n">
        <x:v>2</x:v>
      </x:c>
      <x:c r="C24" s="40" t="n">
        <x:v>3</x:v>
      </x:c>
      <x:c r="D24" s="36" t="str">
        <x:v>direita → esquerda</x:v>
      </x:c>
      <x:c r="E24" s="41" t="n">
        <x:v>2.7</x:v>
      </x:c>
      <x:c r="F24" s="41" t="n">
        <x:v>-1.75</x:v>
      </x:c>
      <x:c r="G24" s="134" t="n">
        <x:v>30.7938</x:v>
      </x:c>
    </x:row>
    <x:row r="25">
      <x:c r="A25" s="40" t="n">
        <x:v>21</x:v>
      </x:c>
      <x:c r="B25" s="40" t="n">
        <x:v>2</x:v>
      </x:c>
      <x:c r="C25" s="40" t="n">
        <x:v>4</x:v>
      </x:c>
      <x:c r="D25" s="36" t="str">
        <x:v>direita → esquerda</x:v>
      </x:c>
      <x:c r="E25" s="41" t="n">
        <x:v>2.45</x:v>
      </x:c>
      <x:c r="F25" s="41" t="n">
        <x:v>-1.75</x:v>
      </x:c>
      <x:c r="G25" s="134" t="n">
        <x:v>32.46</x:v>
      </x:c>
    </x:row>
    <x:row r="26">
      <x:c r="A26" s="40" t="n">
        <x:v>22</x:v>
      </x:c>
      <x:c r="B26" s="40" t="n">
        <x:v>2</x:v>
      </x:c>
      <x:c r="C26" s="40" t="n">
        <x:v>5</x:v>
      </x:c>
      <x:c r="D26" s="36" t="str">
        <x:v>direita → esquerda</x:v>
      </x:c>
      <x:c r="E26" s="41" t="n">
        <x:v>2.2</x:v>
      </x:c>
      <x:c r="F26" s="41" t="n">
        <x:v>-1.75</x:v>
      </x:c>
      <x:c r="G26" s="134" t="n">
        <x:v>34.6382</x:v>
      </x:c>
    </x:row>
    <x:row r="27">
      <x:c r="A27" s="40" t="n">
        <x:v>23</x:v>
      </x:c>
      <x:c r="B27" s="40" t="n">
        <x:v>2</x:v>
      </x:c>
      <x:c r="C27" s="40" t="n">
        <x:v>6</x:v>
      </x:c>
      <x:c r="D27" s="36" t="str">
        <x:v>direita → esquerda</x:v>
      </x:c>
      <x:c r="E27" s="41" t="n">
        <x:v>1.95</x:v>
      </x:c>
      <x:c r="F27" s="41" t="n">
        <x:v>-1.75</x:v>
      </x:c>
      <x:c r="G27" s="134" t="n">
        <x:v>32.3535</x:v>
      </x:c>
    </x:row>
    <x:row r="28">
      <x:c r="A28" s="40" t="n">
        <x:v>24</x:v>
      </x:c>
      <x:c r="B28" s="40" t="n">
        <x:v>2</x:v>
      </x:c>
      <x:c r="C28" s="40" t="n">
        <x:v>7</x:v>
      </x:c>
      <x:c r="D28" s="36" t="str">
        <x:v>direita → esquerda</x:v>
      </x:c>
      <x:c r="E28" s="41" t="n">
        <x:v>1.7</x:v>
      </x:c>
      <x:c r="F28" s="41" t="n">
        <x:v>-1.75</x:v>
      </x:c>
      <x:c r="G28" s="134" t="n">
        <x:v>32.3051</x:v>
      </x:c>
    </x:row>
    <x:row r="29">
      <x:c r="A29" s="40" t="n">
        <x:v>25</x:v>
      </x:c>
      <x:c r="B29" s="40" t="n">
        <x:v>2</x:v>
      </x:c>
      <x:c r="C29" s="40" t="n">
        <x:v>8</x:v>
      </x:c>
      <x:c r="D29" s="36" t="str">
        <x:v>direita → esquerda</x:v>
      </x:c>
      <x:c r="E29" s="41" t="n">
        <x:v>1.45</x:v>
      </x:c>
      <x:c r="F29" s="41" t="n">
        <x:v>-1.75</x:v>
      </x:c>
      <x:c r="G29" s="134" t="n">
        <x:v>33.8839</x:v>
      </x:c>
    </x:row>
    <x:row r="30">
      <x:c r="A30" s="40" t="n">
        <x:v>26</x:v>
      </x:c>
      <x:c r="B30" s="40" t="n">
        <x:v>2</x:v>
      </x:c>
      <x:c r="C30" s="40" t="n">
        <x:v>9</x:v>
      </x:c>
      <x:c r="D30" s="36" t="str">
        <x:v>direita → esquerda</x:v>
      </x:c>
      <x:c r="E30" s="41" t="n">
        <x:v>1.2</x:v>
      </x:c>
      <x:c r="F30" s="41" t="n">
        <x:v>-1.75</x:v>
      </x:c>
      <x:c r="G30" s="134" t="n">
        <x:v>36.4075</x:v>
      </x:c>
    </x:row>
    <x:row r="31">
      <x:c r="A31" s="40" t="n">
        <x:v>27</x:v>
      </x:c>
      <x:c r="B31" s="40" t="n">
        <x:v>2</x:v>
      </x:c>
      <x:c r="C31" s="40" t="n">
        <x:v>10</x:v>
      </x:c>
      <x:c r="D31" s="36" t="str">
        <x:v>direita → esquerda</x:v>
      </x:c>
      <x:c r="E31" s="41" t="n">
        <x:v>0.95</x:v>
      </x:c>
      <x:c r="F31" s="41" t="n">
        <x:v>-1.75</x:v>
      </x:c>
      <x:c r="G31" s="134" t="n">
        <x:v>30.9234</x:v>
      </x:c>
    </x:row>
    <x:row r="32">
      <x:c r="A32" s="40" t="n">
        <x:v>28</x:v>
      </x:c>
      <x:c r="B32" s="40" t="n">
        <x:v>2</x:v>
      </x:c>
      <x:c r="C32" s="40" t="n">
        <x:v>11</x:v>
      </x:c>
      <x:c r="D32" s="36" t="str">
        <x:v>direita → esquerda</x:v>
      </x:c>
      <x:c r="E32" s="41" t="n">
        <x:v>0.7</x:v>
      </x:c>
      <x:c r="F32" s="41" t="n">
        <x:v>-1.75</x:v>
      </x:c>
      <x:c r="G32" s="134" t="n">
        <x:v>35.5799</x:v>
      </x:c>
    </x:row>
    <x:row r="33">
      <x:c r="A33" s="40" t="n">
        <x:v>29</x:v>
      </x:c>
      <x:c r="B33" s="40" t="n">
        <x:v>2</x:v>
      </x:c>
      <x:c r="C33" s="40" t="n">
        <x:v>12</x:v>
      </x:c>
      <x:c r="D33" s="36" t="str">
        <x:v>direita → esquerda</x:v>
      </x:c>
      <x:c r="E33" s="41" t="n">
        <x:v>0.44999999999999996</x:v>
      </x:c>
      <x:c r="F33" s="41" t="n">
        <x:v>-1.75</x:v>
      </x:c>
      <x:c r="G33" s="134" t="n">
        <x:v>30.1399</x:v>
      </x:c>
    </x:row>
    <x:row r="34">
      <x:c r="A34" s="40" t="n">
        <x:v>30</x:v>
      </x:c>
      <x:c r="B34" s="40" t="n">
        <x:v>2</x:v>
      </x:c>
      <x:c r="C34" s="40" t="n">
        <x:v>13</x:v>
      </x:c>
      <x:c r="D34" s="36" t="str">
        <x:v>direita → esquerda</x:v>
      </x:c>
      <x:c r="E34" s="41" t="n">
        <x:v>0.19999999999999996</x:v>
      </x:c>
      <x:c r="F34" s="41" t="n">
        <x:v>-1.75</x:v>
      </x:c>
      <x:c r="G34" s="134" t="n">
        <x:v>33.5505</x:v>
      </x:c>
    </x:row>
    <x:row r="35">
      <x:c r="A35" s="40" t="n">
        <x:v>31</x:v>
      </x:c>
      <x:c r="B35" s="40" t="n">
        <x:v>2</x:v>
      </x:c>
      <x:c r="C35" s="40" t="n">
        <x:v>14</x:v>
      </x:c>
      <x:c r="D35" s="36" t="str">
        <x:v>direita → esquerda</x:v>
      </x:c>
      <x:c r="E35" s="41" t="n">
        <x:v>-0.050000000000000044</x:v>
      </x:c>
      <x:c r="F35" s="41" t="n">
        <x:v>-1.75</x:v>
      </x:c>
      <x:c r="G35" s="134" t="n">
        <x:v>30.8822</x:v>
      </x:c>
    </x:row>
    <x:row r="36">
      <x:c r="A36" s="40" t="n">
        <x:v>32</x:v>
      </x:c>
      <x:c r="B36" s="40" t="n">
        <x:v>2</x:v>
      </x:c>
      <x:c r="C36" s="40" t="n">
        <x:v>15</x:v>
      </x:c>
      <x:c r="D36" s="36" t="str">
        <x:v>direita → esquerda</x:v>
      </x:c>
      <x:c r="E36" s="41" t="n">
        <x:v>-0.30000000000000004</x:v>
      </x:c>
      <x:c r="F36" s="41" t="n">
        <x:v>-1.75</x:v>
      </x:c>
      <x:c r="G36" s="134" t="n">
        <x:v>36.9901</x:v>
      </x:c>
    </x:row>
    <x:row r="37">
      <x:c r="A37" s="40" t="n">
        <x:v>33</x:v>
      </x:c>
      <x:c r="B37" s="40" t="n">
        <x:v>2</x:v>
      </x:c>
      <x:c r="C37" s="40" t="n">
        <x:v>16</x:v>
      </x:c>
      <x:c r="D37" s="36" t="str">
        <x:v>direita → esquerda</x:v>
      </x:c>
      <x:c r="E37" s="41" t="n">
        <x:v>-0.55</x:v>
      </x:c>
      <x:c r="F37" s="41" t="n">
        <x:v>-1.75</x:v>
      </x:c>
      <x:c r="G37" s="134" t="n">
        <x:v>36.233</x:v>
      </x:c>
    </x:row>
    <x:row r="38">
      <x:c r="A38" s="40" t="n">
        <x:v>34</x:v>
      </x:c>
      <x:c r="B38" s="40" t="n">
        <x:v>2</x:v>
      </x:c>
      <x:c r="C38" s="40" t="n">
        <x:v>17</x:v>
      </x:c>
      <x:c r="D38" s="36" t="str">
        <x:v>direita → esquerda</x:v>
      </x:c>
      <x:c r="E38" s="41" t="n">
        <x:v>-0.8</x:v>
      </x:c>
      <x:c r="F38" s="41" t="n">
        <x:v>-1.75</x:v>
      </x:c>
      <x:c r="G38" s="134" t="n">
        <x:v>37.3591</x:v>
      </x:c>
    </x:row>
    <x:row r="39">
      <x:c r="A39" s="40" t="n">
        <x:v>35</x:v>
      </x:c>
      <x:c r="B39" s="40" t="n">
        <x:v>3</x:v>
      </x:c>
      <x:c r="C39" s="40" t="n">
        <x:v>1</x:v>
      </x:c>
      <x:c r="D39" s="36" t="str">
        <x:v>esquerda → direita</x:v>
      </x:c>
      <x:c r="E39" s="41" t="n">
        <x:v>-0.8</x:v>
      </x:c>
      <x:c r="F39" s="41" t="n">
        <x:v>-1.5</x:v>
      </x:c>
      <x:c r="G39" s="134" t="n">
        <x:v>32.1943</x:v>
      </x:c>
    </x:row>
    <x:row r="40">
      <x:c r="A40" s="40" t="n">
        <x:v>36</x:v>
      </x:c>
      <x:c r="B40" s="40" t="n">
        <x:v>3</x:v>
      </x:c>
      <x:c r="C40" s="40" t="n">
        <x:v>2</x:v>
      </x:c>
      <x:c r="D40" s="36" t="str">
        <x:v>esquerda → direita</x:v>
      </x:c>
      <x:c r="E40" s="41" t="n">
        <x:v>-0.55</x:v>
      </x:c>
      <x:c r="F40" s="41" t="n">
        <x:v>-1.5</x:v>
      </x:c>
      <x:c r="G40" s="134" t="n">
        <x:v>35.2636</x:v>
      </x:c>
    </x:row>
    <x:row r="41">
      <x:c r="A41" s="40" t="n">
        <x:v>37</x:v>
      </x:c>
      <x:c r="B41" s="40" t="n">
        <x:v>3</x:v>
      </x:c>
      <x:c r="C41" s="40" t="n">
        <x:v>3</x:v>
      </x:c>
      <x:c r="D41" s="36" t="str">
        <x:v>esquerda → direita</x:v>
      </x:c>
      <x:c r="E41" s="41" t="n">
        <x:v>-0.30000000000000004</x:v>
      </x:c>
      <x:c r="F41" s="41" t="n">
        <x:v>-1.5</x:v>
      </x:c>
      <x:c r="G41" s="134" t="n">
        <x:v>32.0015</x:v>
      </x:c>
    </x:row>
    <x:row r="42">
      <x:c r="A42" s="40" t="n">
        <x:v>38</x:v>
      </x:c>
      <x:c r="B42" s="40" t="n">
        <x:v>3</x:v>
      </x:c>
      <x:c r="C42" s="40" t="n">
        <x:v>4</x:v>
      </x:c>
      <x:c r="D42" s="36" t="str">
        <x:v>esquerda → direita</x:v>
      </x:c>
      <x:c r="E42" s="41" t="n">
        <x:v>-0.050000000000000044</x:v>
      </x:c>
      <x:c r="F42" s="41" t="n">
        <x:v>-1.5</x:v>
      </x:c>
      <x:c r="G42" s="134" t="n">
        <x:v>31.6142</x:v>
      </x:c>
    </x:row>
    <x:row r="43">
      <x:c r="A43" s="40" t="n">
        <x:v>39</x:v>
      </x:c>
      <x:c r="B43" s="40" t="n">
        <x:v>3</x:v>
      </x:c>
      <x:c r="C43" s="40" t="n">
        <x:v>5</x:v>
      </x:c>
      <x:c r="D43" s="36" t="str">
        <x:v>esquerda → direita</x:v>
      </x:c>
      <x:c r="E43" s="41" t="n">
        <x:v>0.19999999999999996</x:v>
      </x:c>
      <x:c r="F43" s="41" t="n">
        <x:v>-1.5</x:v>
      </x:c>
      <x:c r="G43" s="134" t="n">
        <x:v>33.2142</x:v>
      </x:c>
    </x:row>
    <x:row r="44">
      <x:c r="A44" s="40" t="n">
        <x:v>40</x:v>
      </x:c>
      <x:c r="B44" s="40" t="n">
        <x:v>3</x:v>
      </x:c>
      <x:c r="C44" s="40" t="n">
        <x:v>6</x:v>
      </x:c>
      <x:c r="D44" s="36" t="str">
        <x:v>esquerda → direita</x:v>
      </x:c>
      <x:c r="E44" s="41" t="n">
        <x:v>0.44999999999999996</x:v>
      </x:c>
      <x:c r="F44" s="41" t="n">
        <x:v>-1.5</x:v>
      </x:c>
      <x:c r="G44" s="134" t="n">
        <x:v>33.5566</x:v>
      </x:c>
    </x:row>
    <x:row r="45">
      <x:c r="A45" s="40" t="n">
        <x:v>41</x:v>
      </x:c>
      <x:c r="B45" s="40" t="n">
        <x:v>3</x:v>
      </x:c>
      <x:c r="C45" s="40" t="n">
        <x:v>7</x:v>
      </x:c>
      <x:c r="D45" s="36" t="str">
        <x:v>esquerda → direita</x:v>
      </x:c>
      <x:c r="E45" s="41" t="n">
        <x:v>0.7</x:v>
      </x:c>
      <x:c r="F45" s="41" t="n">
        <x:v>-1.5</x:v>
      </x:c>
      <x:c r="G45" s="134" t="n">
        <x:v>31.7754</x:v>
      </x:c>
    </x:row>
    <x:row r="46">
      <x:c r="A46" s="40" t="n">
        <x:v>42</x:v>
      </x:c>
      <x:c r="B46" s="40" t="n">
        <x:v>3</x:v>
      </x:c>
      <x:c r="C46" s="40" t="n">
        <x:v>8</x:v>
      </x:c>
      <x:c r="D46" s="36" t="str">
        <x:v>esquerda → direita</x:v>
      </x:c>
      <x:c r="E46" s="41" t="n">
        <x:v>0.95</x:v>
      </x:c>
      <x:c r="F46" s="41" t="n">
        <x:v>-1.5</x:v>
      </x:c>
      <x:c r="G46" s="134" t="n">
        <x:v>29.8002</x:v>
      </x:c>
    </x:row>
    <x:row r="47">
      <x:c r="A47" s="40" t="n">
        <x:v>43</x:v>
      </x:c>
      <x:c r="B47" s="40" t="n">
        <x:v>3</x:v>
      </x:c>
      <x:c r="C47" s="40" t="n">
        <x:v>9</x:v>
      </x:c>
      <x:c r="D47" s="36" t="str">
        <x:v>esquerda → direita</x:v>
      </x:c>
      <x:c r="E47" s="41" t="n">
        <x:v>1.2</x:v>
      </x:c>
      <x:c r="F47" s="41" t="n">
        <x:v>-1.5</x:v>
      </x:c>
      <x:c r="G47" s="134" t="n">
        <x:v>29.2973</x:v>
      </x:c>
    </x:row>
    <x:row r="48">
      <x:c r="A48" s="40" t="n">
        <x:v>44</x:v>
      </x:c>
      <x:c r="B48" s="40" t="n">
        <x:v>3</x:v>
      </x:c>
      <x:c r="C48" s="40" t="n">
        <x:v>10</x:v>
      </x:c>
      <x:c r="D48" s="36" t="str">
        <x:v>esquerda → direita</x:v>
      </x:c>
      <x:c r="E48" s="41" t="n">
        <x:v>1.45</x:v>
      </x:c>
      <x:c r="F48" s="41" t="n">
        <x:v>-1.5</x:v>
      </x:c>
      <x:c r="G48" s="134" t="n">
        <x:v>34.1162</x:v>
      </x:c>
    </x:row>
    <x:row r="49">
      <x:c r="A49" s="40" t="n">
        <x:v>45</x:v>
      </x:c>
      <x:c r="B49" s="40" t="n">
        <x:v>3</x:v>
      </x:c>
      <x:c r="C49" s="40" t="n">
        <x:v>11</x:v>
      </x:c>
      <x:c r="D49" s="36" t="str">
        <x:v>esquerda → direita</x:v>
      </x:c>
      <x:c r="E49" s="41" t="n">
        <x:v>1.7</x:v>
      </x:c>
      <x:c r="F49" s="41" t="n">
        <x:v>-1.5</x:v>
      </x:c>
      <x:c r="G49" s="134" t="n">
        <x:v>32.5063</x:v>
      </x:c>
    </x:row>
    <x:row r="50">
      <x:c r="A50" s="40" t="n">
        <x:v>46</x:v>
      </x:c>
      <x:c r="B50" s="40" t="n">
        <x:v>3</x:v>
      </x:c>
      <x:c r="C50" s="40" t="n">
        <x:v>12</x:v>
      </x:c>
      <x:c r="D50" s="36" t="str">
        <x:v>esquerda → direita</x:v>
      </x:c>
      <x:c r="E50" s="41" t="n">
        <x:v>1.95</x:v>
      </x:c>
      <x:c r="F50" s="41" t="n">
        <x:v>-1.5</x:v>
      </x:c>
      <x:c r="G50" s="134" t="n">
        <x:v>33.0782</x:v>
      </x:c>
    </x:row>
    <x:row r="51">
      <x:c r="A51" s="40" t="n">
        <x:v>47</x:v>
      </x:c>
      <x:c r="B51" s="40" t="n">
        <x:v>3</x:v>
      </x:c>
      <x:c r="C51" s="40" t="n">
        <x:v>13</x:v>
      </x:c>
      <x:c r="D51" s="36" t="str">
        <x:v>esquerda → direita</x:v>
      </x:c>
      <x:c r="E51" s="41" t="n">
        <x:v>2.2</x:v>
      </x:c>
      <x:c r="F51" s="41" t="n">
        <x:v>-1.5</x:v>
      </x:c>
      <x:c r="G51" s="134" t="n">
        <x:v>36.6587</x:v>
      </x:c>
    </x:row>
    <x:row r="52">
      <x:c r="A52" s="40" t="n">
        <x:v>48</x:v>
      </x:c>
      <x:c r="B52" s="40" t="n">
        <x:v>3</x:v>
      </x:c>
      <x:c r="C52" s="40" t="n">
        <x:v>14</x:v>
      </x:c>
      <x:c r="D52" s="36" t="str">
        <x:v>esquerda → direita</x:v>
      </x:c>
      <x:c r="E52" s="41" t="n">
        <x:v>2.45</x:v>
      </x:c>
      <x:c r="F52" s="41" t="n">
        <x:v>-1.5</x:v>
      </x:c>
      <x:c r="G52" s="134" t="n">
        <x:v>30.584</x:v>
      </x:c>
    </x:row>
    <x:row r="53">
      <x:c r="A53" s="40" t="n">
        <x:v>49</x:v>
      </x:c>
      <x:c r="B53" s="40" t="n">
        <x:v>3</x:v>
      </x:c>
      <x:c r="C53" s="40" t="n">
        <x:v>15</x:v>
      </x:c>
      <x:c r="D53" s="36" t="str">
        <x:v>esquerda → direita</x:v>
      </x:c>
      <x:c r="E53" s="41" t="n">
        <x:v>2.7</x:v>
      </x:c>
      <x:c r="F53" s="41" t="n">
        <x:v>-1.5</x:v>
      </x:c>
      <x:c r="G53" s="134" t="n">
        <x:v>38.593</x:v>
      </x:c>
    </x:row>
    <x:row r="54">
      <x:c r="A54" s="40" t="n">
        <x:v>50</x:v>
      </x:c>
      <x:c r="B54" s="40" t="n">
        <x:v>3</x:v>
      </x:c>
      <x:c r="C54" s="40" t="n">
        <x:v>16</x:v>
      </x:c>
      <x:c r="D54" s="36" t="str">
        <x:v>esquerda → direita</x:v>
      </x:c>
      <x:c r="E54" s="41" t="n">
        <x:v>2.95</x:v>
      </x:c>
      <x:c r="F54" s="41" t="n">
        <x:v>-1.5</x:v>
      </x:c>
      <x:c r="G54" s="134" t="n">
        <x:v>39.4042</x:v>
      </x:c>
    </x:row>
    <x:row r="55">
      <x:c r="A55" s="40" t="n">
        <x:v>51</x:v>
      </x:c>
      <x:c r="B55" s="40" t="n">
        <x:v>3</x:v>
      </x:c>
      <x:c r="C55" s="40" t="n">
        <x:v>17</x:v>
      </x:c>
      <x:c r="D55" s="36" t="str">
        <x:v>esquerda → direita</x:v>
      </x:c>
      <x:c r="E55" s="41" t="n">
        <x:v>3.2</x:v>
      </x:c>
      <x:c r="F55" s="41" t="n">
        <x:v>-1.5</x:v>
      </x:c>
      <x:c r="G55" s="134" t="n">
        <x:v>37.5749</x:v>
      </x:c>
    </x:row>
    <x:row r="56">
      <x:c r="A56" s="40" t="n">
        <x:v>52</x:v>
      </x:c>
      <x:c r="B56" s="40" t="n">
        <x:v>4</x:v>
      </x:c>
      <x:c r="C56" s="40" t="n">
        <x:v>1</x:v>
      </x:c>
      <x:c r="D56" s="36" t="str">
        <x:v>direita → esquerda</x:v>
      </x:c>
      <x:c r="E56" s="41" t="n">
        <x:v>3.2</x:v>
      </x:c>
      <x:c r="F56" s="41" t="n">
        <x:v>-1.25</x:v>
      </x:c>
      <x:c r="G56" s="134" t="n">
        <x:v>35.2167</x:v>
      </x:c>
    </x:row>
    <x:row r="57">
      <x:c r="A57" s="40" t="n">
        <x:v>53</x:v>
      </x:c>
      <x:c r="B57" s="40" t="n">
        <x:v>4</x:v>
      </x:c>
      <x:c r="C57" s="40" t="n">
        <x:v>2</x:v>
      </x:c>
      <x:c r="D57" s="36" t="str">
        <x:v>direita → esquerda</x:v>
      </x:c>
      <x:c r="E57" s="41" t="n">
        <x:v>2.95</x:v>
      </x:c>
      <x:c r="F57" s="41" t="n">
        <x:v>-1.25</x:v>
      </x:c>
      <x:c r="G57" s="134" t="n">
        <x:v>31.1939</x:v>
      </x:c>
    </x:row>
    <x:row r="58">
      <x:c r="A58" s="40" t="n">
        <x:v>54</x:v>
      </x:c>
      <x:c r="B58" s="40" t="n">
        <x:v>4</x:v>
      </x:c>
      <x:c r="C58" s="40" t="n">
        <x:v>3</x:v>
      </x:c>
      <x:c r="D58" s="36" t="str">
        <x:v>direita → esquerda</x:v>
      </x:c>
      <x:c r="E58" s="41" t="n">
        <x:v>2.7</x:v>
      </x:c>
      <x:c r="F58" s="41" t="n">
        <x:v>-1.25</x:v>
      </x:c>
      <x:c r="G58" s="134" t="n">
        <x:v>34.1421</x:v>
      </x:c>
    </x:row>
    <x:row r="59">
      <x:c r="A59" s="40" t="n">
        <x:v>55</x:v>
      </x:c>
      <x:c r="B59" s="40" t="n">
        <x:v>4</x:v>
      </x:c>
      <x:c r="C59" s="40" t="n">
        <x:v>4</x:v>
      </x:c>
      <x:c r="D59" s="36" t="str">
        <x:v>direita → esquerda</x:v>
      </x:c>
      <x:c r="E59" s="41" t="n">
        <x:v>2.45</x:v>
      </x:c>
      <x:c r="F59" s="41" t="n">
        <x:v>-1.25</x:v>
      </x:c>
      <x:c r="G59" s="134" t="n">
        <x:v>30.3135</x:v>
      </x:c>
    </x:row>
    <x:row r="60">
      <x:c r="A60" s="40" t="n">
        <x:v>56</x:v>
      </x:c>
      <x:c r="B60" s="40" t="n">
        <x:v>4</x:v>
      </x:c>
      <x:c r="C60" s="40" t="n">
        <x:v>5</x:v>
      </x:c>
      <x:c r="D60" s="36" t="str">
        <x:v>direita → esquerda</x:v>
      </x:c>
      <x:c r="E60" s="41" t="n">
        <x:v>2.2</x:v>
      </x:c>
      <x:c r="F60" s="41" t="n">
        <x:v>-1.25</x:v>
      </x:c>
      <x:c r="G60" s="134" t="n">
        <x:v>30.5434</x:v>
      </x:c>
    </x:row>
    <x:row r="61">
      <x:c r="A61" s="40" t="n">
        <x:v>57</x:v>
      </x:c>
      <x:c r="B61" s="40" t="n">
        <x:v>4</x:v>
      </x:c>
      <x:c r="C61" s="40" t="n">
        <x:v>6</x:v>
      </x:c>
      <x:c r="D61" s="36" t="str">
        <x:v>direita → esquerda</x:v>
      </x:c>
      <x:c r="E61" s="41" t="n">
        <x:v>1.95</x:v>
      </x:c>
      <x:c r="F61" s="41" t="n">
        <x:v>-1.25</x:v>
      </x:c>
      <x:c r="G61" s="134" t="n">
        <x:v>29.4129</x:v>
      </x:c>
    </x:row>
    <x:row r="62">
      <x:c r="A62" s="40" t="n">
        <x:v>58</x:v>
      </x:c>
      <x:c r="B62" s="40" t="n">
        <x:v>4</x:v>
      </x:c>
      <x:c r="C62" s="40" t="n">
        <x:v>7</x:v>
      </x:c>
      <x:c r="D62" s="36" t="str">
        <x:v>direita → esquerda</x:v>
      </x:c>
      <x:c r="E62" s="41" t="n">
        <x:v>1.7</x:v>
      </x:c>
      <x:c r="F62" s="41" t="n">
        <x:v>-1.25</x:v>
      </x:c>
      <x:c r="G62" s="134" t="n">
        <x:v>30.1395</x:v>
      </x:c>
    </x:row>
    <x:row r="63">
      <x:c r="A63" s="40" t="n">
        <x:v>59</x:v>
      </x:c>
      <x:c r="B63" s="40" t="n">
        <x:v>4</x:v>
      </x:c>
      <x:c r="C63" s="40" t="n">
        <x:v>8</x:v>
      </x:c>
      <x:c r="D63" s="36" t="str">
        <x:v>direita → esquerda</x:v>
      </x:c>
      <x:c r="E63" s="41" t="n">
        <x:v>1.45</x:v>
      </x:c>
      <x:c r="F63" s="41" t="n">
        <x:v>-1.25</x:v>
      </x:c>
      <x:c r="G63" s="134" t="n">
        <x:v>31.8668</x:v>
      </x:c>
    </x:row>
    <x:row r="64">
      <x:c r="A64" s="40" t="n">
        <x:v>60</x:v>
      </x:c>
      <x:c r="B64" s="40" t="n">
        <x:v>4</x:v>
      </x:c>
      <x:c r="C64" s="40" t="n">
        <x:v>9</x:v>
      </x:c>
      <x:c r="D64" s="36" t="str">
        <x:v>direita → esquerda</x:v>
      </x:c>
      <x:c r="E64" s="41" t="n">
        <x:v>1.2</x:v>
      </x:c>
      <x:c r="F64" s="41" t="n">
        <x:v>-1.25</x:v>
      </x:c>
      <x:c r="G64" s="134" t="n">
        <x:v>28.0617</x:v>
      </x:c>
    </x:row>
    <x:row r="65">
      <x:c r="A65" s="40" t="n">
        <x:v>61</x:v>
      </x:c>
      <x:c r="B65" s="40" t="n">
        <x:v>4</x:v>
      </x:c>
      <x:c r="C65" s="40" t="n">
        <x:v>10</x:v>
      </x:c>
      <x:c r="D65" s="36" t="str">
        <x:v>direita → esquerda</x:v>
      </x:c>
      <x:c r="E65" s="41" t="n">
        <x:v>0.95</x:v>
      </x:c>
      <x:c r="F65" s="41" t="n">
        <x:v>-1.25</x:v>
      </x:c>
      <x:c r="G65" s="134" t="n">
        <x:v>27.267</x:v>
      </x:c>
    </x:row>
    <x:row r="66">
      <x:c r="A66" s="40" t="n">
        <x:v>62</x:v>
      </x:c>
      <x:c r="B66" s="40" t="n">
        <x:v>4</x:v>
      </x:c>
      <x:c r="C66" s="40" t="n">
        <x:v>11</x:v>
      </x:c>
      <x:c r="D66" s="36" t="str">
        <x:v>direita → esquerda</x:v>
      </x:c>
      <x:c r="E66" s="41" t="n">
        <x:v>0.7</x:v>
      </x:c>
      <x:c r="F66" s="41" t="n">
        <x:v>-1.25</x:v>
      </x:c>
      <x:c r="G66" s="134" t="n">
        <x:v>27.46</x:v>
      </x:c>
    </x:row>
    <x:row r="67">
      <x:c r="A67" s="40" t="n">
        <x:v>63</x:v>
      </x:c>
      <x:c r="B67" s="40" t="n">
        <x:v>4</x:v>
      </x:c>
      <x:c r="C67" s="40" t="n">
        <x:v>12</x:v>
      </x:c>
      <x:c r="D67" s="36" t="str">
        <x:v>direita → esquerda</x:v>
      </x:c>
      <x:c r="E67" s="41" t="n">
        <x:v>0.44999999999999996</x:v>
      </x:c>
      <x:c r="F67" s="41" t="n">
        <x:v>-1.25</x:v>
      </x:c>
      <x:c r="G67" s="134" t="n">
        <x:v>27.9091</x:v>
      </x:c>
    </x:row>
    <x:row r="68">
      <x:c r="A68" s="40" t="n">
        <x:v>64</x:v>
      </x:c>
      <x:c r="B68" s="40" t="n">
        <x:v>4</x:v>
      </x:c>
      <x:c r="C68" s="40" t="n">
        <x:v>13</x:v>
      </x:c>
      <x:c r="D68" s="36" t="str">
        <x:v>direita → esquerda</x:v>
      </x:c>
      <x:c r="E68" s="41" t="n">
        <x:v>0.19999999999999996</x:v>
      </x:c>
      <x:c r="F68" s="41" t="n">
        <x:v>-1.25</x:v>
      </x:c>
      <x:c r="G68" s="134" t="n">
        <x:v>27.4439</x:v>
      </x:c>
    </x:row>
    <x:row r="69">
      <x:c r="A69" s="40" t="n">
        <x:v>65</x:v>
      </x:c>
      <x:c r="B69" s="40" t="n">
        <x:v>4</x:v>
      </x:c>
      <x:c r="C69" s="40" t="n">
        <x:v>14</x:v>
      </x:c>
      <x:c r="D69" s="36" t="str">
        <x:v>direita → esquerda</x:v>
      </x:c>
      <x:c r="E69" s="41" t="n">
        <x:v>-0.050000000000000044</x:v>
      </x:c>
      <x:c r="F69" s="41" t="n">
        <x:v>-1.25</x:v>
      </x:c>
      <x:c r="G69" s="134" t="n">
        <x:v>29.1181</x:v>
      </x:c>
    </x:row>
    <x:row r="70">
      <x:c r="A70" s="40" t="n">
        <x:v>66</x:v>
      </x:c>
      <x:c r="B70" s="40" t="n">
        <x:v>4</x:v>
      </x:c>
      <x:c r="C70" s="40" t="n">
        <x:v>15</x:v>
      </x:c>
      <x:c r="D70" s="36" t="str">
        <x:v>direita → esquerda</x:v>
      </x:c>
      <x:c r="E70" s="41" t="n">
        <x:v>-0.30000000000000004</x:v>
      </x:c>
      <x:c r="F70" s="41" t="n">
        <x:v>-1.25</x:v>
      </x:c>
      <x:c r="G70" s="134" t="n">
        <x:v>34.5626</x:v>
      </x:c>
    </x:row>
    <x:row r="71">
      <x:c r="A71" s="40" t="n">
        <x:v>67</x:v>
      </x:c>
      <x:c r="B71" s="40" t="n">
        <x:v>4</x:v>
      </x:c>
      <x:c r="C71" s="40" t="n">
        <x:v>16</x:v>
      </x:c>
      <x:c r="D71" s="36" t="str">
        <x:v>direita → esquerda</x:v>
      </x:c>
      <x:c r="E71" s="41" t="n">
        <x:v>-0.55</x:v>
      </x:c>
      <x:c r="F71" s="41" t="n">
        <x:v>-1.25</x:v>
      </x:c>
      <x:c r="G71" s="134" t="n">
        <x:v>31.0774</x:v>
      </x:c>
    </x:row>
    <x:row r="72">
      <x:c r="A72" s="40" t="n">
        <x:v>68</x:v>
      </x:c>
      <x:c r="B72" s="40" t="n">
        <x:v>4</x:v>
      </x:c>
      <x:c r="C72" s="40" t="n">
        <x:v>17</x:v>
      </x:c>
      <x:c r="D72" s="36" t="str">
        <x:v>direita → esquerda</x:v>
      </x:c>
      <x:c r="E72" s="41" t="n">
        <x:v>-0.8</x:v>
      </x:c>
      <x:c r="F72" s="41" t="n">
        <x:v>-1.25</x:v>
      </x:c>
      <x:c r="G72" s="134" t="n">
        <x:v>33.6054</x:v>
      </x:c>
    </x:row>
    <x:row r="73">
      <x:c r="A73" s="40" t="n">
        <x:v>69</x:v>
      </x:c>
      <x:c r="B73" s="40" t="n">
        <x:v>5</x:v>
      </x:c>
      <x:c r="C73" s="40" t="n">
        <x:v>1</x:v>
      </x:c>
      <x:c r="D73" s="36" t="str">
        <x:v>esquerda → direita</x:v>
      </x:c>
      <x:c r="E73" s="41" t="n">
        <x:v>-0.8</x:v>
      </x:c>
      <x:c r="F73" s="41" t="n">
        <x:v>-1</x:v>
      </x:c>
      <x:c r="G73" s="134" t="n">
        <x:v>29.7886</x:v>
      </x:c>
    </x:row>
    <x:row r="74">
      <x:c r="A74" s="40" t="n">
        <x:v>70</x:v>
      </x:c>
      <x:c r="B74" s="40" t="n">
        <x:v>5</x:v>
      </x:c>
      <x:c r="C74" s="40" t="n">
        <x:v>2</x:v>
      </x:c>
      <x:c r="D74" s="36" t="str">
        <x:v>esquerda → direita</x:v>
      </x:c>
      <x:c r="E74" s="41" t="n">
        <x:v>-0.55</x:v>
      </x:c>
      <x:c r="F74" s="41" t="n">
        <x:v>-1</x:v>
      </x:c>
      <x:c r="G74" s="134" t="n">
        <x:v>32.0767</x:v>
      </x:c>
    </x:row>
    <x:row r="75">
      <x:c r="A75" s="40" t="n">
        <x:v>71</x:v>
      </x:c>
      <x:c r="B75" s="40" t="n">
        <x:v>5</x:v>
      </x:c>
      <x:c r="C75" s="40" t="n">
        <x:v>3</x:v>
      </x:c>
      <x:c r="D75" s="36" t="str">
        <x:v>esquerda → direita</x:v>
      </x:c>
      <x:c r="E75" s="41" t="n">
        <x:v>-0.30000000000000004</x:v>
      </x:c>
      <x:c r="F75" s="41" t="n">
        <x:v>-1</x:v>
      </x:c>
      <x:c r="G75" s="134" t="n">
        <x:v>27.1176</x:v>
      </x:c>
    </x:row>
    <x:row r="76">
      <x:c r="A76" s="40" t="n">
        <x:v>72</x:v>
      </x:c>
      <x:c r="B76" s="40" t="n">
        <x:v>5</x:v>
      </x:c>
      <x:c r="C76" s="40" t="n">
        <x:v>4</x:v>
      </x:c>
      <x:c r="D76" s="36" t="str">
        <x:v>esquerda → direita</x:v>
      </x:c>
      <x:c r="E76" s="41" t="n">
        <x:v>-0.050000000000000044</x:v>
      </x:c>
      <x:c r="F76" s="41" t="n">
        <x:v>-1</x:v>
      </x:c>
      <x:c r="G76" s="134" t="n">
        <x:v>28.4395</x:v>
      </x:c>
    </x:row>
    <x:row r="77">
      <x:c r="A77" s="40" t="n">
        <x:v>73</x:v>
      </x:c>
      <x:c r="B77" s="40" t="n">
        <x:v>5</x:v>
      </x:c>
      <x:c r="C77" s="40" t="n">
        <x:v>5</x:v>
      </x:c>
      <x:c r="D77" s="36" t="str">
        <x:v>esquerda → direita</x:v>
      </x:c>
      <x:c r="E77" s="41" t="n">
        <x:v>0.19999999999999996</x:v>
      </x:c>
      <x:c r="F77" s="41" t="n">
        <x:v>-1</x:v>
      </x:c>
      <x:c r="G77" s="134" t="n">
        <x:v>33.4829</x:v>
      </x:c>
    </x:row>
    <x:row r="78">
      <x:c r="A78" s="40" t="n">
        <x:v>74</x:v>
      </x:c>
      <x:c r="B78" s="40" t="n">
        <x:v>5</x:v>
      </x:c>
      <x:c r="C78" s="40" t="n">
        <x:v>6</x:v>
      </x:c>
      <x:c r="D78" s="36" t="str">
        <x:v>esquerda → direita</x:v>
      </x:c>
      <x:c r="E78" s="41" t="n">
        <x:v>0.44999999999999996</x:v>
      </x:c>
      <x:c r="F78" s="41" t="n">
        <x:v>-1</x:v>
      </x:c>
      <x:c r="G78" s="134" t="n">
        <x:v>27.0789</x:v>
      </x:c>
    </x:row>
    <x:row r="79">
      <x:c r="A79" s="40" t="n">
        <x:v>75</x:v>
      </x:c>
      <x:c r="B79" s="40" t="n">
        <x:v>5</x:v>
      </x:c>
      <x:c r="C79" s="40" t="n">
        <x:v>7</x:v>
      </x:c>
      <x:c r="D79" s="36" t="str">
        <x:v>esquerda → direita</x:v>
      </x:c>
      <x:c r="E79" s="41" t="n">
        <x:v>0.7</x:v>
      </x:c>
      <x:c r="F79" s="41" t="n">
        <x:v>-1</x:v>
      </x:c>
      <x:c r="G79" s="134" t="n">
        <x:v>29.7655</x:v>
      </x:c>
    </x:row>
    <x:row r="80">
      <x:c r="A80" s="40" t="n">
        <x:v>76</x:v>
      </x:c>
      <x:c r="B80" s="40" t="n">
        <x:v>5</x:v>
      </x:c>
      <x:c r="C80" s="40" t="n">
        <x:v>8</x:v>
      </x:c>
      <x:c r="D80" s="36" t="str">
        <x:v>esquerda → direita</x:v>
      </x:c>
      <x:c r="E80" s="41" t="n">
        <x:v>0.95</x:v>
      </x:c>
      <x:c r="F80" s="41" t="n">
        <x:v>-1</x:v>
      </x:c>
      <x:c r="G80" s="134" t="n">
        <x:v>28.1363</x:v>
      </x:c>
    </x:row>
    <x:row r="81">
      <x:c r="A81" s="40" t="n">
        <x:v>77</x:v>
      </x:c>
      <x:c r="B81" s="40" t="n">
        <x:v>5</x:v>
      </x:c>
      <x:c r="C81" s="40" t="n">
        <x:v>9</x:v>
      </x:c>
      <x:c r="D81" s="36" t="str">
        <x:v>esquerda → direita</x:v>
      </x:c>
      <x:c r="E81" s="41" t="n">
        <x:v>1.2</x:v>
      </x:c>
      <x:c r="F81" s="41" t="n">
        <x:v>-1</x:v>
      </x:c>
      <x:c r="G81" s="134" t="n">
        <x:v>26.8806</x:v>
      </x:c>
    </x:row>
    <x:row r="82">
      <x:c r="A82" s="40" t="n">
        <x:v>78</x:v>
      </x:c>
      <x:c r="B82" s="40" t="n">
        <x:v>5</x:v>
      </x:c>
      <x:c r="C82" s="40" t="n">
        <x:v>10</x:v>
      </x:c>
      <x:c r="D82" s="36" t="str">
        <x:v>esquerda → direita</x:v>
      </x:c>
      <x:c r="E82" s="41" t="n">
        <x:v>1.45</x:v>
      </x:c>
      <x:c r="F82" s="41" t="n">
        <x:v>-1</x:v>
      </x:c>
      <x:c r="G82" s="134" t="n">
        <x:v>26.0677</x:v>
      </x:c>
    </x:row>
    <x:row r="83">
      <x:c r="A83" s="40" t="n">
        <x:v>79</x:v>
      </x:c>
      <x:c r="B83" s="40" t="n">
        <x:v>5</x:v>
      </x:c>
      <x:c r="C83" s="40" t="n">
        <x:v>11</x:v>
      </x:c>
      <x:c r="D83" s="36" t="str">
        <x:v>esquerda → direita</x:v>
      </x:c>
      <x:c r="E83" s="41" t="n">
        <x:v>1.7</x:v>
      </x:c>
      <x:c r="F83" s="41" t="n">
        <x:v>-1</x:v>
      </x:c>
      <x:c r="G83" s="134" t="n">
        <x:v>30.107</x:v>
      </x:c>
    </x:row>
    <x:row r="84">
      <x:c r="A84" s="40" t="n">
        <x:v>80</x:v>
      </x:c>
      <x:c r="B84" s="40" t="n">
        <x:v>5</x:v>
      </x:c>
      <x:c r="C84" s="40" t="n">
        <x:v>12</x:v>
      </x:c>
      <x:c r="D84" s="36" t="str">
        <x:v>esquerda → direita</x:v>
      </x:c>
      <x:c r="E84" s="41" t="n">
        <x:v>1.95</x:v>
      </x:c>
      <x:c r="F84" s="41" t="n">
        <x:v>-1</x:v>
      </x:c>
      <x:c r="G84" s="134" t="n">
        <x:v>27.9034</x:v>
      </x:c>
    </x:row>
    <x:row r="85">
      <x:c r="A85" s="40" t="n">
        <x:v>81</x:v>
      </x:c>
      <x:c r="B85" s="40" t="n">
        <x:v>5</x:v>
      </x:c>
      <x:c r="C85" s="40" t="n">
        <x:v>13</x:v>
      </x:c>
      <x:c r="D85" s="36" t="str">
        <x:v>esquerda → direita</x:v>
      </x:c>
      <x:c r="E85" s="41" t="n">
        <x:v>2.2</x:v>
      </x:c>
      <x:c r="F85" s="41" t="n">
        <x:v>-1</x:v>
      </x:c>
      <x:c r="G85" s="134" t="n">
        <x:v>32.0806</x:v>
      </x:c>
    </x:row>
    <x:row r="86">
      <x:c r="A86" s="40" t="n">
        <x:v>82</x:v>
      </x:c>
      <x:c r="B86" s="40" t="n">
        <x:v>5</x:v>
      </x:c>
      <x:c r="C86" s="40" t="n">
        <x:v>14</x:v>
      </x:c>
      <x:c r="D86" s="36" t="str">
        <x:v>esquerda → direita</x:v>
      </x:c>
      <x:c r="E86" s="41" t="n">
        <x:v>2.45</x:v>
      </x:c>
      <x:c r="F86" s="41" t="n">
        <x:v>-1</x:v>
      </x:c>
      <x:c r="G86" s="134" t="n">
        <x:v>28.4609</x:v>
      </x:c>
    </x:row>
    <x:row r="87">
      <x:c r="A87" s="40" t="n">
        <x:v>83</x:v>
      </x:c>
      <x:c r="B87" s="40" t="n">
        <x:v>5</x:v>
      </x:c>
      <x:c r="C87" s="40" t="n">
        <x:v>15</x:v>
      </x:c>
      <x:c r="D87" s="36" t="str">
        <x:v>esquerda → direita</x:v>
      </x:c>
      <x:c r="E87" s="41" t="n">
        <x:v>2.7</x:v>
      </x:c>
      <x:c r="F87" s="41" t="n">
        <x:v>-1</x:v>
      </x:c>
      <x:c r="G87" s="134" t="n">
        <x:v>31.0117</x:v>
      </x:c>
    </x:row>
    <x:row r="88">
      <x:c r="A88" s="40" t="n">
        <x:v>84</x:v>
      </x:c>
      <x:c r="B88" s="40" t="n">
        <x:v>5</x:v>
      </x:c>
      <x:c r="C88" s="40" t="n">
        <x:v>16</x:v>
      </x:c>
      <x:c r="D88" s="36" t="str">
        <x:v>esquerda → direita</x:v>
      </x:c>
      <x:c r="E88" s="41" t="n">
        <x:v>2.95</x:v>
      </x:c>
      <x:c r="F88" s="41" t="n">
        <x:v>-1</x:v>
      </x:c>
      <x:c r="G88" s="134" t="n">
        <x:v>32.8151</x:v>
      </x:c>
    </x:row>
    <x:row r="89">
      <x:c r="A89" s="40" t="n">
        <x:v>85</x:v>
      </x:c>
      <x:c r="B89" s="40" t="n">
        <x:v>5</x:v>
      </x:c>
      <x:c r="C89" s="40" t="n">
        <x:v>17</x:v>
      </x:c>
      <x:c r="D89" s="36" t="str">
        <x:v>esquerda → direita</x:v>
      </x:c>
      <x:c r="E89" s="41" t="n">
        <x:v>3.2</x:v>
      </x:c>
      <x:c r="F89" s="41" t="n">
        <x:v>-1</x:v>
      </x:c>
      <x:c r="G89" s="134" t="n">
        <x:v>33.4554</x:v>
      </x:c>
    </x:row>
    <x:row r="90">
      <x:c r="A90" s="40" t="n">
        <x:v>86</x:v>
      </x:c>
      <x:c r="B90" s="40" t="n">
        <x:v>6</x:v>
      </x:c>
      <x:c r="C90" s="40" t="n">
        <x:v>1</x:v>
      </x:c>
      <x:c r="D90" s="36" t="str">
        <x:v>direita → esquerda</x:v>
      </x:c>
      <x:c r="E90" s="41" t="n">
        <x:v>3.2</x:v>
      </x:c>
      <x:c r="F90" s="41" t="n">
        <x:v>-0.75</x:v>
      </x:c>
      <x:c r="G90" s="134" t="n">
        <x:v>29.4164</x:v>
      </x:c>
    </x:row>
    <x:row r="91">
      <x:c r="A91" s="40" t="n">
        <x:v>87</x:v>
      </x:c>
      <x:c r="B91" s="40" t="n">
        <x:v>6</x:v>
      </x:c>
      <x:c r="C91" s="40" t="n">
        <x:v>2</x:v>
      </x:c>
      <x:c r="D91" s="36" t="str">
        <x:v>direita → esquerda</x:v>
      </x:c>
      <x:c r="E91" s="41" t="n">
        <x:v>2.95</x:v>
      </x:c>
      <x:c r="F91" s="41" t="n">
        <x:v>-0.75</x:v>
      </x:c>
      <x:c r="G91" s="134" t="n">
        <x:v>29.716</x:v>
      </x:c>
    </x:row>
    <x:row r="92">
      <x:c r="A92" s="40" t="n">
        <x:v>88</x:v>
      </x:c>
      <x:c r="B92" s="40" t="n">
        <x:v>6</x:v>
      </x:c>
      <x:c r="C92" s="40" t="n">
        <x:v>3</x:v>
      </x:c>
      <x:c r="D92" s="36" t="str">
        <x:v>direita → esquerda</x:v>
      </x:c>
      <x:c r="E92" s="41" t="n">
        <x:v>2.7</x:v>
      </x:c>
      <x:c r="F92" s="41" t="n">
        <x:v>-0.75</x:v>
      </x:c>
      <x:c r="G92" s="134" t="n">
        <x:v>29.5482</x:v>
      </x:c>
    </x:row>
    <x:row r="93">
      <x:c r="A93" s="40" t="n">
        <x:v>89</x:v>
      </x:c>
      <x:c r="B93" s="40" t="n">
        <x:v>6</x:v>
      </x:c>
      <x:c r="C93" s="40" t="n">
        <x:v>4</x:v>
      </x:c>
      <x:c r="D93" s="36" t="str">
        <x:v>direita → esquerda</x:v>
      </x:c>
      <x:c r="E93" s="41" t="n">
        <x:v>2.45</x:v>
      </x:c>
      <x:c r="F93" s="41" t="n">
        <x:v>-0.75</x:v>
      </x:c>
      <x:c r="G93" s="134" t="n">
        <x:v>26.9728</x:v>
      </x:c>
    </x:row>
    <x:row r="94">
      <x:c r="A94" s="40" t="n">
        <x:v>90</x:v>
      </x:c>
      <x:c r="B94" s="40" t="n">
        <x:v>6</x:v>
      </x:c>
      <x:c r="C94" s="40" t="n">
        <x:v>5</x:v>
      </x:c>
      <x:c r="D94" s="36" t="str">
        <x:v>direita → esquerda</x:v>
      </x:c>
      <x:c r="E94" s="41" t="n">
        <x:v>2.2</x:v>
      </x:c>
      <x:c r="F94" s="41" t="n">
        <x:v>-0.75</x:v>
      </x:c>
      <x:c r="G94" s="134" t="n">
        <x:v>28.6362</x:v>
      </x:c>
    </x:row>
    <x:row r="95">
      <x:c r="A95" s="40" t="n">
        <x:v>91</x:v>
      </x:c>
      <x:c r="B95" s="40" t="n">
        <x:v>6</x:v>
      </x:c>
      <x:c r="C95" s="40" t="n">
        <x:v>6</x:v>
      </x:c>
      <x:c r="D95" s="36" t="str">
        <x:v>direita → esquerda</x:v>
      </x:c>
      <x:c r="E95" s="41" t="n">
        <x:v>1.95</x:v>
      </x:c>
      <x:c r="F95" s="41" t="n">
        <x:v>-0.75</x:v>
      </x:c>
      <x:c r="G95" s="134" t="n">
        <x:v>27.3388</x:v>
      </x:c>
    </x:row>
    <x:row r="96">
      <x:c r="A96" s="40" t="n">
        <x:v>92</x:v>
      </x:c>
      <x:c r="B96" s="40" t="n">
        <x:v>6</x:v>
      </x:c>
      <x:c r="C96" s="40" t="n">
        <x:v>7</x:v>
      </x:c>
      <x:c r="D96" s="36" t="str">
        <x:v>direita → esquerda</x:v>
      </x:c>
      <x:c r="E96" s="41" t="n">
        <x:v>1.7</x:v>
      </x:c>
      <x:c r="F96" s="41" t="n">
        <x:v>-0.75</x:v>
      </x:c>
      <x:c r="G96" s="134" t="n">
        <x:v>22.0848</x:v>
      </x:c>
    </x:row>
    <x:row r="97">
      <x:c r="A97" s="40" t="n">
        <x:v>93</x:v>
      </x:c>
      <x:c r="B97" s="40" t="n">
        <x:v>6</x:v>
      </x:c>
      <x:c r="C97" s="40" t="n">
        <x:v>8</x:v>
      </x:c>
      <x:c r="D97" s="36" t="str">
        <x:v>direita → esquerda</x:v>
      </x:c>
      <x:c r="E97" s="41" t="n">
        <x:v>1.45</x:v>
      </x:c>
      <x:c r="F97" s="41" t="n">
        <x:v>-0.75</x:v>
      </x:c>
      <x:c r="G97" s="134" t="n">
        <x:v>21.9447</x:v>
      </x:c>
    </x:row>
    <x:row r="98">
      <x:c r="A98" s="40" t="n">
        <x:v>94</x:v>
      </x:c>
      <x:c r="B98" s="40" t="n">
        <x:v>6</x:v>
      </x:c>
      <x:c r="C98" s="40" t="n">
        <x:v>9</x:v>
      </x:c>
      <x:c r="D98" s="36" t="str">
        <x:v>direita → esquerda</x:v>
      </x:c>
      <x:c r="E98" s="41" t="n">
        <x:v>1.2</x:v>
      </x:c>
      <x:c r="F98" s="41" t="n">
        <x:v>-0.75</x:v>
      </x:c>
      <x:c r="G98" s="134" t="n">
        <x:v>22.713</x:v>
      </x:c>
    </x:row>
    <x:row r="99">
      <x:c r="A99" s="40" t="n">
        <x:v>95</x:v>
      </x:c>
      <x:c r="B99" s="40" t="n">
        <x:v>6</x:v>
      </x:c>
      <x:c r="C99" s="40" t="n">
        <x:v>10</x:v>
      </x:c>
      <x:c r="D99" s="36" t="str">
        <x:v>direita → esquerda</x:v>
      </x:c>
      <x:c r="E99" s="41" t="n">
        <x:v>0.95</x:v>
      </x:c>
      <x:c r="F99" s="41" t="n">
        <x:v>-0.75</x:v>
      </x:c>
      <x:c r="G99" s="134" t="n">
        <x:v>25.269</x:v>
      </x:c>
    </x:row>
    <x:row r="100">
      <x:c r="A100" s="40" t="n">
        <x:v>96</x:v>
      </x:c>
      <x:c r="B100" s="40" t="n">
        <x:v>6</x:v>
      </x:c>
      <x:c r="C100" s="40" t="n">
        <x:v>11</x:v>
      </x:c>
      <x:c r="D100" s="36" t="str">
        <x:v>direita → esquerda</x:v>
      </x:c>
      <x:c r="E100" s="41" t="n">
        <x:v>0.7</x:v>
      </x:c>
      <x:c r="F100" s="41" t="n">
        <x:v>-0.75</x:v>
      </x:c>
      <x:c r="G100" s="134" t="n">
        <x:v>29.1147</x:v>
      </x:c>
    </x:row>
    <x:row r="101">
      <x:c r="A101" s="40" t="n">
        <x:v>97</x:v>
      </x:c>
      <x:c r="B101" s="40" t="n">
        <x:v>6</x:v>
      </x:c>
      <x:c r="C101" s="40" t="n">
        <x:v>12</x:v>
      </x:c>
      <x:c r="D101" s="36" t="str">
        <x:v>direita → esquerda</x:v>
      </x:c>
      <x:c r="E101" s="41" t="n">
        <x:v>0.44999999999999996</x:v>
      </x:c>
      <x:c r="F101" s="41" t="n">
        <x:v>-0.75</x:v>
      </x:c>
      <x:c r="G101" s="134" t="n">
        <x:v>25.7224</x:v>
      </x:c>
    </x:row>
    <x:row r="102">
      <x:c r="A102" s="40" t="n">
        <x:v>98</x:v>
      </x:c>
      <x:c r="B102" s="40" t="n">
        <x:v>6</x:v>
      </x:c>
      <x:c r="C102" s="40" t="n">
        <x:v>13</x:v>
      </x:c>
      <x:c r="D102" s="36" t="str">
        <x:v>direita → esquerda</x:v>
      </x:c>
      <x:c r="E102" s="41" t="n">
        <x:v>0.19999999999999996</x:v>
      </x:c>
      <x:c r="F102" s="41" t="n">
        <x:v>-0.75</x:v>
      </x:c>
      <x:c r="G102" s="134" t="n">
        <x:v>28.0129</x:v>
      </x:c>
    </x:row>
    <x:row r="103">
      <x:c r="A103" s="40" t="n">
        <x:v>99</x:v>
      </x:c>
      <x:c r="B103" s="40" t="n">
        <x:v>6</x:v>
      </x:c>
      <x:c r="C103" s="40" t="n">
        <x:v>14</x:v>
      </x:c>
      <x:c r="D103" s="36" t="str">
        <x:v>direita → esquerda</x:v>
      </x:c>
      <x:c r="E103" s="41" t="n">
        <x:v>-0.050000000000000044</x:v>
      </x:c>
      <x:c r="F103" s="41" t="n">
        <x:v>-0.75</x:v>
      </x:c>
      <x:c r="G103" s="134" t="n">
        <x:v>26.7904</x:v>
      </x:c>
    </x:row>
    <x:row r="104">
      <x:c r="A104" s="40" t="n">
        <x:v>100</x:v>
      </x:c>
      <x:c r="B104" s="40" t="n">
        <x:v>6</x:v>
      </x:c>
      <x:c r="C104" s="40" t="n">
        <x:v>15</x:v>
      </x:c>
      <x:c r="D104" s="36" t="str">
        <x:v>direita → esquerda</x:v>
      </x:c>
      <x:c r="E104" s="41" t="n">
        <x:v>-0.30000000000000004</x:v>
      </x:c>
      <x:c r="F104" s="41" t="n">
        <x:v>-0.75</x:v>
      </x:c>
      <x:c r="G104" s="134" t="n">
        <x:v>28.0868</x:v>
      </x:c>
    </x:row>
    <x:row r="105">
      <x:c r="A105" s="40" t="n">
        <x:v>101</x:v>
      </x:c>
      <x:c r="B105" s="40" t="n">
        <x:v>6</x:v>
      </x:c>
      <x:c r="C105" s="40" t="n">
        <x:v>16</x:v>
      </x:c>
      <x:c r="D105" s="36" t="str">
        <x:v>direita → esquerda</x:v>
      </x:c>
      <x:c r="E105" s="41" t="n">
        <x:v>-0.55</x:v>
      </x:c>
      <x:c r="F105" s="41" t="n">
        <x:v>-0.75</x:v>
      </x:c>
      <x:c r="G105" s="134" t="n">
        <x:v>27.298</x:v>
      </x:c>
    </x:row>
    <x:row r="106">
      <x:c r="A106" s="40" t="n">
        <x:v>102</x:v>
      </x:c>
      <x:c r="B106" s="40" t="n">
        <x:v>6</x:v>
      </x:c>
      <x:c r="C106" s="40" t="n">
        <x:v>17</x:v>
      </x:c>
      <x:c r="D106" s="36" t="str">
        <x:v>direita → esquerda</x:v>
      </x:c>
      <x:c r="E106" s="41" t="n">
        <x:v>-0.8</x:v>
      </x:c>
      <x:c r="F106" s="41" t="n">
        <x:v>-0.75</x:v>
      </x:c>
      <x:c r="G106" s="134" t="n">
        <x:v>32.4727</x:v>
      </x:c>
    </x:row>
    <x:row r="107">
      <x:c r="A107" s="40" t="n">
        <x:v>103</x:v>
      </x:c>
      <x:c r="B107" s="40" t="n">
        <x:v>7</x:v>
      </x:c>
      <x:c r="C107" s="40" t="n">
        <x:v>1</x:v>
      </x:c>
      <x:c r="D107" s="36" t="str">
        <x:v>esquerda → direita</x:v>
      </x:c>
      <x:c r="E107" s="41" t="n">
        <x:v>-0.8</x:v>
      </x:c>
      <x:c r="F107" s="41" t="n">
        <x:v>-0.5</x:v>
      </x:c>
      <x:c r="G107" s="134" t="n">
        <x:v>34.1544</x:v>
      </x:c>
    </x:row>
    <x:row r="108">
      <x:c r="A108" s="40" t="n">
        <x:v>104</x:v>
      </x:c>
      <x:c r="B108" s="40" t="n">
        <x:v>7</x:v>
      </x:c>
      <x:c r="C108" s="40" t="n">
        <x:v>2</x:v>
      </x:c>
      <x:c r="D108" s="36" t="str">
        <x:v>esquerda → direita</x:v>
      </x:c>
      <x:c r="E108" s="41" t="n">
        <x:v>-0.55</x:v>
      </x:c>
      <x:c r="F108" s="41" t="n">
        <x:v>-0.5</x:v>
      </x:c>
      <x:c r="G108" s="134" t="n">
        <x:v>30.0774</x:v>
      </x:c>
    </x:row>
    <x:row r="109">
      <x:c r="A109" s="40" t="n">
        <x:v>105</x:v>
      </x:c>
      <x:c r="B109" s="40" t="n">
        <x:v>7</x:v>
      </x:c>
      <x:c r="C109" s="40" t="n">
        <x:v>3</x:v>
      </x:c>
      <x:c r="D109" s="36" t="str">
        <x:v>esquerda → direita</x:v>
      </x:c>
      <x:c r="E109" s="41" t="n">
        <x:v>-0.30000000000000004</x:v>
      </x:c>
      <x:c r="F109" s="41" t="n">
        <x:v>-0.5</x:v>
      </x:c>
      <x:c r="G109" s="134" t="n">
        <x:v>31.9486</x:v>
      </x:c>
    </x:row>
    <x:row r="110">
      <x:c r="A110" s="40" t="n">
        <x:v>106</x:v>
      </x:c>
      <x:c r="B110" s="40" t="n">
        <x:v>7</x:v>
      </x:c>
      <x:c r="C110" s="40" t="n">
        <x:v>4</x:v>
      </x:c>
      <x:c r="D110" s="36" t="str">
        <x:v>esquerda → direita</x:v>
      </x:c>
      <x:c r="E110" s="41" t="n">
        <x:v>-0.050000000000000044</x:v>
      </x:c>
      <x:c r="F110" s="41" t="n">
        <x:v>-0.5</x:v>
      </x:c>
      <x:c r="G110" s="134" t="n">
        <x:v>27.6204</x:v>
      </x:c>
    </x:row>
    <x:row r="111">
      <x:c r="A111" s="40" t="n">
        <x:v>107</x:v>
      </x:c>
      <x:c r="B111" s="40" t="n">
        <x:v>7</x:v>
      </x:c>
      <x:c r="C111" s="40" t="n">
        <x:v>5</x:v>
      </x:c>
      <x:c r="D111" s="36" t="str">
        <x:v>esquerda → direita</x:v>
      </x:c>
      <x:c r="E111" s="41" t="n">
        <x:v>0.19999999999999996</x:v>
      </x:c>
      <x:c r="F111" s="41" t="n">
        <x:v>-0.5</x:v>
      </x:c>
      <x:c r="G111" s="134" t="n">
        <x:v>25.2404</x:v>
      </x:c>
    </x:row>
    <x:row r="112">
      <x:c r="A112" s="40" t="n">
        <x:v>108</x:v>
      </x:c>
      <x:c r="B112" s="40" t="n">
        <x:v>7</x:v>
      </x:c>
      <x:c r="C112" s="40" t="n">
        <x:v>6</x:v>
      </x:c>
      <x:c r="D112" s="36" t="str">
        <x:v>esquerda → direita</x:v>
      </x:c>
      <x:c r="E112" s="41" t="n">
        <x:v>0.44999999999999996</x:v>
      </x:c>
      <x:c r="F112" s="41" t="n">
        <x:v>-0.5</x:v>
      </x:c>
      <x:c r="G112" s="134" t="n">
        <x:v>24.5272</x:v>
      </x:c>
    </x:row>
    <x:row r="113">
      <x:c r="A113" s="40" t="n">
        <x:v>109</x:v>
      </x:c>
      <x:c r="B113" s="40" t="n">
        <x:v>7</x:v>
      </x:c>
      <x:c r="C113" s="40" t="n">
        <x:v>7</x:v>
      </x:c>
      <x:c r="D113" s="36" t="str">
        <x:v>esquerda → direita</x:v>
      </x:c>
      <x:c r="E113" s="41" t="n">
        <x:v>0.7</x:v>
      </x:c>
      <x:c r="F113" s="41" t="n">
        <x:v>-0.5</x:v>
      </x:c>
      <x:c r="G113" s="134" t="n">
        <x:v>23.3388</x:v>
      </x:c>
    </x:row>
    <x:row r="114">
      <x:c r="A114" s="40" t="n">
        <x:v>110</x:v>
      </x:c>
      <x:c r="B114" s="40" t="n">
        <x:v>7</x:v>
      </x:c>
      <x:c r="C114" s="40" t="n">
        <x:v>8</x:v>
      </x:c>
      <x:c r="D114" s="36" t="str">
        <x:v>esquerda → direita</x:v>
      </x:c>
      <x:c r="E114" s="41" t="n">
        <x:v>0.95</x:v>
      </x:c>
      <x:c r="F114" s="41" t="n">
        <x:v>-0.5</x:v>
      </x:c>
      <x:c r="G114" s="134" t="n">
        <x:v>23.6692</x:v>
      </x:c>
    </x:row>
    <x:row r="115">
      <x:c r="A115" s="40" t="n">
        <x:v>111</x:v>
      </x:c>
      <x:c r="B115" s="40" t="n">
        <x:v>7</x:v>
      </x:c>
      <x:c r="C115" s="40" t="n">
        <x:v>9</x:v>
      </x:c>
      <x:c r="D115" s="36" t="str">
        <x:v>esquerda → direita</x:v>
      </x:c>
      <x:c r="E115" s="41" t="n">
        <x:v>1.2</x:v>
      </x:c>
      <x:c r="F115" s="41" t="n">
        <x:v>-0.5</x:v>
      </x:c>
      <x:c r="G115" s="134" t="n">
        <x:v>20.5983</x:v>
      </x:c>
    </x:row>
    <x:row r="116">
      <x:c r="A116" s="40" t="n">
        <x:v>112</x:v>
      </x:c>
      <x:c r="B116" s="40" t="n">
        <x:v>7</x:v>
      </x:c>
      <x:c r="C116" s="40" t="n">
        <x:v>10</x:v>
      </x:c>
      <x:c r="D116" s="36" t="str">
        <x:v>esquerda → direita</x:v>
      </x:c>
      <x:c r="E116" s="41" t="n">
        <x:v>1.45</x:v>
      </x:c>
      <x:c r="F116" s="41" t="n">
        <x:v>-0.5</x:v>
      </x:c>
      <x:c r="G116" s="134" t="n">
        <x:v>18.6041</x:v>
      </x:c>
    </x:row>
    <x:row r="117">
      <x:c r="A117" s="40" t="n">
        <x:v>113</x:v>
      </x:c>
      <x:c r="B117" s="40" t="n">
        <x:v>7</x:v>
      </x:c>
      <x:c r="C117" s="40" t="n">
        <x:v>11</x:v>
      </x:c>
      <x:c r="D117" s="36" t="str">
        <x:v>esquerda → direita</x:v>
      </x:c>
      <x:c r="E117" s="41" t="n">
        <x:v>1.7</x:v>
      </x:c>
      <x:c r="F117" s="41" t="n">
        <x:v>-0.5</x:v>
      </x:c>
      <x:c r="G117" s="134" t="n">
        <x:v>22.8157</x:v>
      </x:c>
    </x:row>
    <x:row r="118">
      <x:c r="A118" s="40" t="n">
        <x:v>114</x:v>
      </x:c>
      <x:c r="B118" s="40" t="n">
        <x:v>7</x:v>
      </x:c>
      <x:c r="C118" s="40" t="n">
        <x:v>12</x:v>
      </x:c>
      <x:c r="D118" s="36" t="str">
        <x:v>esquerda → direita</x:v>
      </x:c>
      <x:c r="E118" s="41" t="n">
        <x:v>1.95</x:v>
      </x:c>
      <x:c r="F118" s="41" t="n">
        <x:v>-0.5</x:v>
      </x:c>
      <x:c r="G118" s="134" t="n">
        <x:v>22.7922</x:v>
      </x:c>
    </x:row>
    <x:row r="119">
      <x:c r="A119" s="40" t="n">
        <x:v>115</x:v>
      </x:c>
      <x:c r="B119" s="40" t="n">
        <x:v>7</x:v>
      </x:c>
      <x:c r="C119" s="40" t="n">
        <x:v>13</x:v>
      </x:c>
      <x:c r="D119" s="36" t="str">
        <x:v>esquerda → direita</x:v>
      </x:c>
      <x:c r="E119" s="41" t="n">
        <x:v>2.2</x:v>
      </x:c>
      <x:c r="F119" s="41" t="n">
        <x:v>-0.5</x:v>
      </x:c>
      <x:c r="G119" s="134" t="n">
        <x:v>24.9681</x:v>
      </x:c>
    </x:row>
    <x:row r="120">
      <x:c r="A120" s="40" t="n">
        <x:v>116</x:v>
      </x:c>
      <x:c r="B120" s="40" t="n">
        <x:v>7</x:v>
      </x:c>
      <x:c r="C120" s="40" t="n">
        <x:v>14</x:v>
      </x:c>
      <x:c r="D120" s="36" t="str">
        <x:v>esquerda → direita</x:v>
      </x:c>
      <x:c r="E120" s="41" t="n">
        <x:v>2.45</x:v>
      </x:c>
      <x:c r="F120" s="41" t="n">
        <x:v>-0.5</x:v>
      </x:c>
      <x:c r="G120" s="134" t="n">
        <x:v>30.4535</x:v>
      </x:c>
    </x:row>
    <x:row r="121">
      <x:c r="A121" s="40" t="n">
        <x:v>117</x:v>
      </x:c>
      <x:c r="B121" s="40" t="n">
        <x:v>7</x:v>
      </x:c>
      <x:c r="C121" s="40" t="n">
        <x:v>15</x:v>
      </x:c>
      <x:c r="D121" s="36" t="str">
        <x:v>esquerda → direita</x:v>
      </x:c>
      <x:c r="E121" s="41" t="n">
        <x:v>2.7</x:v>
      </x:c>
      <x:c r="F121" s="41" t="n">
        <x:v>-0.5</x:v>
      </x:c>
      <x:c r="G121" s="134" t="n">
        <x:v>27.1861</x:v>
      </x:c>
    </x:row>
    <x:row r="122">
      <x:c r="A122" s="40" t="n">
        <x:v>118</x:v>
      </x:c>
      <x:c r="B122" s="40" t="n">
        <x:v>7</x:v>
      </x:c>
      <x:c r="C122" s="40" t="n">
        <x:v>16</x:v>
      </x:c>
      <x:c r="D122" s="36" t="str">
        <x:v>esquerda → direita</x:v>
      </x:c>
      <x:c r="E122" s="41" t="n">
        <x:v>2.95</x:v>
      </x:c>
      <x:c r="F122" s="41" t="n">
        <x:v>-0.5</x:v>
      </x:c>
      <x:c r="G122" s="134" t="n">
        <x:v>32.6231</x:v>
      </x:c>
    </x:row>
    <x:row r="123">
      <x:c r="A123" s="40" t="n">
        <x:v>119</x:v>
      </x:c>
      <x:c r="B123" s="40" t="n">
        <x:v>7</x:v>
      </x:c>
      <x:c r="C123" s="40" t="n">
        <x:v>17</x:v>
      </x:c>
      <x:c r="D123" s="36" t="str">
        <x:v>esquerda → direita</x:v>
      </x:c>
      <x:c r="E123" s="41" t="n">
        <x:v>3.2</x:v>
      </x:c>
      <x:c r="F123" s="41" t="n">
        <x:v>-0.5</x:v>
      </x:c>
      <x:c r="G123" s="134" t="n">
        <x:v>34.3956</x:v>
      </x:c>
    </x:row>
    <x:row r="124">
      <x:c r="A124" s="40" t="n">
        <x:v>120</x:v>
      </x:c>
      <x:c r="B124" s="40" t="n">
        <x:v>8</x:v>
      </x:c>
      <x:c r="C124" s="40" t="n">
        <x:v>1</x:v>
      </x:c>
      <x:c r="D124" s="36" t="str">
        <x:v>direita → esquerda</x:v>
      </x:c>
      <x:c r="E124" s="41" t="n">
        <x:v>3.2</x:v>
      </x:c>
      <x:c r="F124" s="41" t="n">
        <x:v>-0.25</x:v>
      </x:c>
      <x:c r="G124" s="134" t="n">
        <x:v>32.9909</x:v>
      </x:c>
    </x:row>
    <x:row r="125">
      <x:c r="A125" s="40" t="n">
        <x:v>121</x:v>
      </x:c>
      <x:c r="B125" s="40" t="n">
        <x:v>8</x:v>
      </x:c>
      <x:c r="C125" s="40" t="n">
        <x:v>2</x:v>
      </x:c>
      <x:c r="D125" s="36" t="str">
        <x:v>direita → esquerda</x:v>
      </x:c>
      <x:c r="E125" s="41" t="n">
        <x:v>2.95</x:v>
      </x:c>
      <x:c r="F125" s="41" t="n">
        <x:v>-0.25</x:v>
      </x:c>
      <x:c r="G125" s="134" t="n">
        <x:v>32.7334</x:v>
      </x:c>
    </x:row>
    <x:row r="126">
      <x:c r="A126" s="40" t="n">
        <x:v>122</x:v>
      </x:c>
      <x:c r="B126" s="40" t="n">
        <x:v>8</x:v>
      </x:c>
      <x:c r="C126" s="40" t="n">
        <x:v>3</x:v>
      </x:c>
      <x:c r="D126" s="36" t="str">
        <x:v>direita → esquerda</x:v>
      </x:c>
      <x:c r="E126" s="41" t="n">
        <x:v>2.7</x:v>
      </x:c>
      <x:c r="F126" s="41" t="n">
        <x:v>-0.25</x:v>
      </x:c>
      <x:c r="G126" s="134" t="n">
        <x:v>27.4125</x:v>
      </x:c>
    </x:row>
    <x:row r="127">
      <x:c r="A127" s="40" t="n">
        <x:v>123</x:v>
      </x:c>
      <x:c r="B127" s="40" t="n">
        <x:v>8</x:v>
      </x:c>
      <x:c r="C127" s="40" t="n">
        <x:v>4</x:v>
      </x:c>
      <x:c r="D127" s="36" t="str">
        <x:v>direita → esquerda</x:v>
      </x:c>
      <x:c r="E127" s="41" t="n">
        <x:v>2.45</x:v>
      </x:c>
      <x:c r="F127" s="41" t="n">
        <x:v>-0.25</x:v>
      </x:c>
      <x:c r="G127" s="134" t="n">
        <x:v>24.2599</x:v>
      </x:c>
    </x:row>
    <x:row r="128">
      <x:c r="A128" s="40" t="n">
        <x:v>124</x:v>
      </x:c>
      <x:c r="B128" s="40" t="n">
        <x:v>8</x:v>
      </x:c>
      <x:c r="C128" s="40" t="n">
        <x:v>5</x:v>
      </x:c>
      <x:c r="D128" s="36" t="str">
        <x:v>direita → esquerda</x:v>
      </x:c>
      <x:c r="E128" s="41" t="n">
        <x:v>2.2</x:v>
      </x:c>
      <x:c r="F128" s="41" t="n">
        <x:v>-0.25</x:v>
      </x:c>
      <x:c r="G128" s="134" t="n">
        <x:v>24.0077</x:v>
      </x:c>
    </x:row>
    <x:row r="129">
      <x:c r="A129" s="40" t="n">
        <x:v>125</x:v>
      </x:c>
      <x:c r="B129" s="40" t="n">
        <x:v>8</x:v>
      </x:c>
      <x:c r="C129" s="40" t="n">
        <x:v>6</x:v>
      </x:c>
      <x:c r="D129" s="36" t="str">
        <x:v>direita → esquerda</x:v>
      </x:c>
      <x:c r="E129" s="41" t="n">
        <x:v>1.95</x:v>
      </x:c>
      <x:c r="F129" s="41" t="n">
        <x:v>-0.25</x:v>
      </x:c>
      <x:c r="G129" s="134" t="n">
        <x:v>21.1471</x:v>
      </x:c>
    </x:row>
    <x:row r="130">
      <x:c r="A130" s="40" t="n">
        <x:v>126</x:v>
      </x:c>
      <x:c r="B130" s="40" t="n">
        <x:v>8</x:v>
      </x:c>
      <x:c r="C130" s="40" t="n">
        <x:v>7</x:v>
      </x:c>
      <x:c r="D130" s="36" t="str">
        <x:v>direita → esquerda</x:v>
      </x:c>
      <x:c r="E130" s="41" t="n">
        <x:v>1.7</x:v>
      </x:c>
      <x:c r="F130" s="41" t="n">
        <x:v>-0.25</x:v>
      </x:c>
      <x:c r="G130" s="134" t="n">
        <x:v>20.485</x:v>
      </x:c>
    </x:row>
    <x:row r="131">
      <x:c r="A131" s="40" t="n">
        <x:v>127</x:v>
      </x:c>
      <x:c r="B131" s="40" t="n">
        <x:v>8</x:v>
      </x:c>
      <x:c r="C131" s="40" t="n">
        <x:v>8</x:v>
      </x:c>
      <x:c r="D131" s="36" t="str">
        <x:v>direita → esquerda</x:v>
      </x:c>
      <x:c r="E131" s="41" t="n">
        <x:v>1.45</x:v>
      </x:c>
      <x:c r="F131" s="41" t="n">
        <x:v>-0.25</x:v>
      </x:c>
      <x:c r="G131" s="134" t="n">
        <x:v>18.2098</x:v>
      </x:c>
    </x:row>
    <x:row r="132">
      <x:c r="A132" s="40" t="n">
        <x:v>128</x:v>
      </x:c>
      <x:c r="B132" s="40" t="n">
        <x:v>8</x:v>
      </x:c>
      <x:c r="C132" s="40" t="n">
        <x:v>9</x:v>
      </x:c>
      <x:c r="D132" s="36" t="str">
        <x:v>direita → esquerda</x:v>
      </x:c>
      <x:c r="E132" s="41" t="n">
        <x:v>1.2</x:v>
      </x:c>
      <x:c r="F132" s="41" t="n">
        <x:v>-0.25</x:v>
      </x:c>
      <x:c r="G132" s="134" t="n">
        <x:v>19.636</x:v>
      </x:c>
    </x:row>
    <x:row r="133">
      <x:c r="A133" s="40" t="n">
        <x:v>129</x:v>
      </x:c>
      <x:c r="B133" s="40" t="n">
        <x:v>8</x:v>
      </x:c>
      <x:c r="C133" s="40" t="n">
        <x:v>10</x:v>
      </x:c>
      <x:c r="D133" s="36" t="str">
        <x:v>direita → esquerda</x:v>
      </x:c>
      <x:c r="E133" s="41" t="n">
        <x:v>0.95</x:v>
      </x:c>
      <x:c r="F133" s="41" t="n">
        <x:v>-0.25</x:v>
      </x:c>
      <x:c r="G133" s="134" t="n">
        <x:v>17.6001</x:v>
      </x:c>
    </x:row>
    <x:row r="134">
      <x:c r="A134" s="40" t="n">
        <x:v>130</x:v>
      </x:c>
      <x:c r="B134" s="40" t="n">
        <x:v>8</x:v>
      </x:c>
      <x:c r="C134" s="40" t="n">
        <x:v>11</x:v>
      </x:c>
      <x:c r="D134" s="36" t="str">
        <x:v>direita → esquerda</x:v>
      </x:c>
      <x:c r="E134" s="41" t="n">
        <x:v>0.7</x:v>
      </x:c>
      <x:c r="F134" s="41" t="n">
        <x:v>-0.25</x:v>
      </x:c>
      <x:c r="G134" s="134" t="n">
        <x:v>17.3717</x:v>
      </x:c>
    </x:row>
    <x:row r="135">
      <x:c r="A135" s="40" t="n">
        <x:v>131</x:v>
      </x:c>
      <x:c r="B135" s="40" t="n">
        <x:v>8</x:v>
      </x:c>
      <x:c r="C135" s="40" t="n">
        <x:v>12</x:v>
      </x:c>
      <x:c r="D135" s="36" t="str">
        <x:v>direita → esquerda</x:v>
      </x:c>
      <x:c r="E135" s="41" t="n">
        <x:v>0.44999999999999996</x:v>
      </x:c>
      <x:c r="F135" s="41" t="n">
        <x:v>-0.25</x:v>
      </x:c>
      <x:c r="G135" s="134" t="n">
        <x:v>17.3658</x:v>
      </x:c>
    </x:row>
    <x:row r="136">
      <x:c r="A136" s="40" t="n">
        <x:v>132</x:v>
      </x:c>
      <x:c r="B136" s="40" t="n">
        <x:v>8</x:v>
      </x:c>
      <x:c r="C136" s="40" t="n">
        <x:v>13</x:v>
      </x:c>
      <x:c r="D136" s="36" t="str">
        <x:v>direita → esquerda</x:v>
      </x:c>
      <x:c r="E136" s="41" t="n">
        <x:v>0.19999999999999996</x:v>
      </x:c>
      <x:c r="F136" s="41" t="n">
        <x:v>-0.25</x:v>
      </x:c>
      <x:c r="G136" s="134" t="n">
        <x:v>20.7163</x:v>
      </x:c>
    </x:row>
    <x:row r="137">
      <x:c r="A137" s="40" t="n">
        <x:v>133</x:v>
      </x:c>
      <x:c r="B137" s="40" t="n">
        <x:v>8</x:v>
      </x:c>
      <x:c r="C137" s="40" t="n">
        <x:v>14</x:v>
      </x:c>
      <x:c r="D137" s="36" t="str">
        <x:v>direita → esquerda</x:v>
      </x:c>
      <x:c r="E137" s="41" t="n">
        <x:v>-0.050000000000000044</x:v>
      </x:c>
      <x:c r="F137" s="41" t="n">
        <x:v>-0.25</x:v>
      </x:c>
      <x:c r="G137" s="134" t="n">
        <x:v>26.7326</x:v>
      </x:c>
    </x:row>
    <x:row r="138">
      <x:c r="A138" s="40" t="n">
        <x:v>134</x:v>
      </x:c>
      <x:c r="B138" s="40" t="n">
        <x:v>8</x:v>
      </x:c>
      <x:c r="C138" s="40" t="n">
        <x:v>15</x:v>
      </x:c>
      <x:c r="D138" s="36" t="str">
        <x:v>direita → esquerda</x:v>
      </x:c>
      <x:c r="E138" s="41" t="n">
        <x:v>-0.30000000000000004</x:v>
      </x:c>
      <x:c r="F138" s="41" t="n">
        <x:v>-0.25</x:v>
      </x:c>
      <x:c r="G138" s="134" t="n">
        <x:v>25.3811</x:v>
      </x:c>
    </x:row>
    <x:row r="139">
      <x:c r="A139" s="40" t="n">
        <x:v>135</x:v>
      </x:c>
      <x:c r="B139" s="40" t="n">
        <x:v>8</x:v>
      </x:c>
      <x:c r="C139" s="40" t="n">
        <x:v>16</x:v>
      </x:c>
      <x:c r="D139" s="36" t="str">
        <x:v>direita → esquerda</x:v>
      </x:c>
      <x:c r="E139" s="41" t="n">
        <x:v>-0.55</x:v>
      </x:c>
      <x:c r="F139" s="41" t="n">
        <x:v>-0.25</x:v>
      </x:c>
      <x:c r="G139" s="134" t="n">
        <x:v>29.3727</x:v>
      </x:c>
    </x:row>
    <x:row r="140">
      <x:c r="A140" s="40" t="n">
        <x:v>136</x:v>
      </x:c>
      <x:c r="B140" s="40" t="n">
        <x:v>8</x:v>
      </x:c>
      <x:c r="C140" s="40" t="n">
        <x:v>17</x:v>
      </x:c>
      <x:c r="D140" s="36" t="str">
        <x:v>direita → esquerda</x:v>
      </x:c>
      <x:c r="E140" s="41" t="n">
        <x:v>-0.8</x:v>
      </x:c>
      <x:c r="F140" s="41" t="n">
        <x:v>-0.25</x:v>
      </x:c>
      <x:c r="G140" s="134" t="n">
        <x:v>36.3537</x:v>
      </x:c>
    </x:row>
    <x:row r="141">
      <x:c r="A141" s="40" t="n">
        <x:v>137</x:v>
      </x:c>
      <x:c r="B141" s="40" t="n">
        <x:v>9</x:v>
      </x:c>
      <x:c r="C141" s="40" t="n">
        <x:v>1</x:v>
      </x:c>
      <x:c r="D141" s="36" t="str">
        <x:v>esquerda → direita</x:v>
      </x:c>
      <x:c r="E141" s="41" t="n">
        <x:v>-0.8</x:v>
      </x:c>
      <x:c r="F141" s="41" t="n">
        <x:v>0</x:v>
      </x:c>
      <x:c r="G141" s="134" t="n">
        <x:v>33.4883</x:v>
      </x:c>
    </x:row>
    <x:row r="142">
      <x:c r="A142" s="40" t="n">
        <x:v>138</x:v>
      </x:c>
      <x:c r="B142" s="40" t="n">
        <x:v>9</x:v>
      </x:c>
      <x:c r="C142" s="40" t="n">
        <x:v>2</x:v>
      </x:c>
      <x:c r="D142" s="36" t="str">
        <x:v>esquerda → direita</x:v>
      </x:c>
      <x:c r="E142" s="41" t="n">
        <x:v>-0.55</x:v>
      </x:c>
      <x:c r="F142" s="41" t="n">
        <x:v>0</x:v>
      </x:c>
      <x:c r="G142" s="134" t="n">
        <x:v>33.6335</x:v>
      </x:c>
    </x:row>
    <x:row r="143">
      <x:c r="A143" s="40" t="n">
        <x:v>139</x:v>
      </x:c>
      <x:c r="B143" s="40" t="n">
        <x:v>9</x:v>
      </x:c>
      <x:c r="C143" s="40" t="n">
        <x:v>3</x:v>
      </x:c>
      <x:c r="D143" s="36" t="str">
        <x:v>esquerda → direita</x:v>
      </x:c>
      <x:c r="E143" s="41" t="n">
        <x:v>-0.30000000000000004</x:v>
      </x:c>
      <x:c r="F143" s="41" t="n">
        <x:v>0</x:v>
      </x:c>
      <x:c r="G143" s="134" t="n">
        <x:v>25.7179</x:v>
      </x:c>
    </x:row>
    <x:row r="144">
      <x:c r="A144" s="40" t="n">
        <x:v>140</x:v>
      </x:c>
      <x:c r="B144" s="40" t="n">
        <x:v>9</x:v>
      </x:c>
      <x:c r="C144" s="40" t="n">
        <x:v>4</x:v>
      </x:c>
      <x:c r="D144" s="36" t="str">
        <x:v>esquerda → direita</x:v>
      </x:c>
      <x:c r="E144" s="41" t="n">
        <x:v>-0.050000000000000044</x:v>
      </x:c>
      <x:c r="F144" s="41" t="n">
        <x:v>0</x:v>
      </x:c>
      <x:c r="G144" s="134" t="n">
        <x:v>20.1015</x:v>
      </x:c>
    </x:row>
    <x:row r="145">
      <x:c r="A145" s="40" t="n">
        <x:v>141</x:v>
      </x:c>
      <x:c r="B145" s="40" t="n">
        <x:v>9</x:v>
      </x:c>
      <x:c r="C145" s="40" t="n">
        <x:v>5</x:v>
      </x:c>
      <x:c r="D145" s="36" t="str">
        <x:v>esquerda → direita</x:v>
      </x:c>
      <x:c r="E145" s="41" t="n">
        <x:v>0.19999999999999996</x:v>
      </x:c>
      <x:c r="F145" s="41" t="n">
        <x:v>0</x:v>
      </x:c>
      <x:c r="G145" s="134" t="n">
        <x:v>22.544</x:v>
      </x:c>
    </x:row>
    <x:row r="146">
      <x:c r="A146" s="40" t="n">
        <x:v>142</x:v>
      </x:c>
      <x:c r="B146" s="40" t="n">
        <x:v>9</x:v>
      </x:c>
      <x:c r="C146" s="40" t="n">
        <x:v>6</x:v>
      </x:c>
      <x:c r="D146" s="36" t="str">
        <x:v>esquerda → direita</x:v>
      </x:c>
      <x:c r="E146" s="41" t="n">
        <x:v>0.44999999999999996</x:v>
      </x:c>
      <x:c r="F146" s="41" t="n">
        <x:v>0</x:v>
      </x:c>
      <x:c r="G146" s="134" t="n">
        <x:v>16.0965</x:v>
      </x:c>
    </x:row>
    <x:row r="147">
      <x:c r="A147" s="40" t="n">
        <x:v>143</x:v>
      </x:c>
      <x:c r="B147" s="40" t="n">
        <x:v>9</x:v>
      </x:c>
      <x:c r="C147" s="40" t="n">
        <x:v>7</x:v>
      </x:c>
      <x:c r="D147" s="36" t="str">
        <x:v>esquerda → direita</x:v>
      </x:c>
      <x:c r="E147" s="41" t="n">
        <x:v>0.7</x:v>
      </x:c>
      <x:c r="F147" s="41" t="n">
        <x:v>0</x:v>
      </x:c>
      <x:c r="G147" s="134" t="n">
        <x:v>16.3309</x:v>
      </x:c>
    </x:row>
    <x:row r="148">
      <x:c r="A148" s="40" t="n">
        <x:v>144</x:v>
      </x:c>
      <x:c r="B148" s="40" t="n">
        <x:v>9</x:v>
      </x:c>
      <x:c r="C148" s="40" t="n">
        <x:v>8</x:v>
      </x:c>
      <x:c r="D148" s="36" t="str">
        <x:v>esquerda → direita</x:v>
      </x:c>
      <x:c r="E148" s="41" t="n">
        <x:v>0.95</x:v>
      </x:c>
      <x:c r="F148" s="41" t="n">
        <x:v>0</x:v>
      </x:c>
      <x:c r="G148" s="134" t="n">
        <x:v>15.6212</x:v>
      </x:c>
    </x:row>
    <x:row r="149">
      <x:c r="A149" s="40" t="n">
        <x:v>145</x:v>
      </x:c>
      <x:c r="B149" s="40" t="n">
        <x:v>9</x:v>
      </x:c>
      <x:c r="C149" s="40" t="n">
        <x:v>9</x:v>
      </x:c>
      <x:c r="D149" s="36" t="str">
        <x:v>esquerda → direita</x:v>
      </x:c>
      <x:c r="E149" s="41" t="n">
        <x:v>1.2</x:v>
      </x:c>
      <x:c r="F149" s="41" t="n">
        <x:v>0</x:v>
      </x:c>
      <x:c r="G149" s="134" t="n">
        <x:v>14.1479</x:v>
      </x:c>
    </x:row>
    <x:row r="150">
      <x:c r="A150" s="40" t="n">
        <x:v>146</x:v>
      </x:c>
      <x:c r="B150" s="40" t="n">
        <x:v>9</x:v>
      </x:c>
      <x:c r="C150" s="40" t="n">
        <x:v>10</x:v>
      </x:c>
      <x:c r="D150" s="36" t="str">
        <x:v>esquerda → direita</x:v>
      </x:c>
      <x:c r="E150" s="41" t="n">
        <x:v>1.45</x:v>
      </x:c>
      <x:c r="F150" s="41" t="n">
        <x:v>0</x:v>
      </x:c>
      <x:c r="G150" s="134" t="n">
        <x:v>16.9933</x:v>
      </x:c>
    </x:row>
    <x:row r="151">
      <x:c r="A151" s="40" t="n">
        <x:v>147</x:v>
      </x:c>
      <x:c r="B151" s="40" t="n">
        <x:v>9</x:v>
      </x:c>
      <x:c r="C151" s="40" t="n">
        <x:v>11</x:v>
      </x:c>
      <x:c r="D151" s="36" t="str">
        <x:v>esquerda → direita</x:v>
      </x:c>
      <x:c r="E151" s="41" t="n">
        <x:v>1.7</x:v>
      </x:c>
      <x:c r="F151" s="41" t="n">
        <x:v>0</x:v>
      </x:c>
      <x:c r="G151" s="134" t="n">
        <x:v>17.8853</x:v>
      </x:c>
    </x:row>
    <x:row r="152">
      <x:c r="A152" s="40" t="n">
        <x:v>148</x:v>
      </x:c>
      <x:c r="B152" s="40" t="n">
        <x:v>9</x:v>
      </x:c>
      <x:c r="C152" s="40" t="n">
        <x:v>12</x:v>
      </x:c>
      <x:c r="D152" s="36" t="str">
        <x:v>esquerda → direita</x:v>
      </x:c>
      <x:c r="E152" s="41" t="n">
        <x:v>1.95</x:v>
      </x:c>
      <x:c r="F152" s="41" t="n">
        <x:v>0</x:v>
      </x:c>
      <x:c r="G152" s="134" t="n">
        <x:v>18.3882</x:v>
      </x:c>
    </x:row>
    <x:row r="153">
      <x:c r="A153" s="40" t="n">
        <x:v>149</x:v>
      </x:c>
      <x:c r="B153" s="40" t="n">
        <x:v>9</x:v>
      </x:c>
      <x:c r="C153" s="40" t="n">
        <x:v>13</x:v>
      </x:c>
      <x:c r="D153" s="36" t="str">
        <x:v>esquerda → direita</x:v>
      </x:c>
      <x:c r="E153" s="41" t="n">
        <x:v>2.2</x:v>
      </x:c>
      <x:c r="F153" s="41" t="n">
        <x:v>0</x:v>
      </x:c>
      <x:c r="G153" s="134" t="n">
        <x:v>20.2689</x:v>
      </x:c>
    </x:row>
    <x:row r="154">
      <x:c r="A154" s="40" t="n">
        <x:v>150</x:v>
      </x:c>
      <x:c r="B154" s="40" t="n">
        <x:v>9</x:v>
      </x:c>
      <x:c r="C154" s="40" t="n">
        <x:v>14</x:v>
      </x:c>
      <x:c r="D154" s="36" t="str">
        <x:v>esquerda → direita</x:v>
      </x:c>
      <x:c r="E154" s="41" t="n">
        <x:v>2.45</x:v>
      </x:c>
      <x:c r="F154" s="41" t="n">
        <x:v>0</x:v>
      </x:c>
      <x:c r="G154" s="134" t="n">
        <x:v>24.2407</x:v>
      </x:c>
    </x:row>
    <x:row r="155">
      <x:c r="A155" s="40" t="n">
        <x:v>151</x:v>
      </x:c>
      <x:c r="B155" s="40" t="n">
        <x:v>9</x:v>
      </x:c>
      <x:c r="C155" s="40" t="n">
        <x:v>15</x:v>
      </x:c>
      <x:c r="D155" s="36" t="str">
        <x:v>esquerda → direita</x:v>
      </x:c>
      <x:c r="E155" s="41" t="n">
        <x:v>2.7</x:v>
      </x:c>
      <x:c r="F155" s="41" t="n">
        <x:v>0</x:v>
      </x:c>
      <x:c r="G155" s="134" t="n">
        <x:v>25.2595</x:v>
      </x:c>
    </x:row>
    <x:row r="156">
      <x:c r="A156" s="40" t="n">
        <x:v>152</x:v>
      </x:c>
      <x:c r="B156" s="40" t="n">
        <x:v>9</x:v>
      </x:c>
      <x:c r="C156" s="40" t="n">
        <x:v>16</x:v>
      </x:c>
      <x:c r="D156" s="36" t="str">
        <x:v>esquerda → direita</x:v>
      </x:c>
      <x:c r="E156" s="41" t="n">
        <x:v>2.95</x:v>
      </x:c>
      <x:c r="F156" s="41" t="n">
        <x:v>0</x:v>
      </x:c>
      <x:c r="G156" s="134" t="n">
        <x:v>29.1823</x:v>
      </x:c>
    </x:row>
    <x:row r="157">
      <x:c r="A157" s="40" t="n">
        <x:v>153</x:v>
      </x:c>
      <x:c r="B157" s="40" t="n">
        <x:v>9</x:v>
      </x:c>
      <x:c r="C157" s="40" t="n">
        <x:v>17</x:v>
      </x:c>
      <x:c r="D157" s="36" t="str">
        <x:v>esquerda → direita</x:v>
      </x:c>
      <x:c r="E157" s="41" t="n">
        <x:v>3.2</x:v>
      </x:c>
      <x:c r="F157" s="41" t="n">
        <x:v>0</x:v>
      </x:c>
      <x:c r="G157" s="134" t="n">
        <x:v>31.0551</x:v>
      </x:c>
    </x:row>
    <x:row r="158">
      <x:c r="A158" s="40" t="n">
        <x:v>154</x:v>
      </x:c>
      <x:c r="B158" s="40" t="n">
        <x:v>10</x:v>
      </x:c>
      <x:c r="C158" s="40" t="n">
        <x:v>1</x:v>
      </x:c>
      <x:c r="D158" s="36" t="str">
        <x:v>direita → esquerda</x:v>
      </x:c>
      <x:c r="E158" s="41" t="n">
        <x:v>3.2</x:v>
      </x:c>
      <x:c r="F158" s="41" t="n">
        <x:v>0.25</x:v>
      </x:c>
      <x:c r="G158" s="134" t="n">
        <x:v>29.5516</x:v>
      </x:c>
    </x:row>
    <x:row r="159">
      <x:c r="A159" s="40" t="n">
        <x:v>155</x:v>
      </x:c>
      <x:c r="B159" s="40" t="n">
        <x:v>10</x:v>
      </x:c>
      <x:c r="C159" s="40" t="n">
        <x:v>2</x:v>
      </x:c>
      <x:c r="D159" s="36" t="str">
        <x:v>direita → esquerda</x:v>
      </x:c>
      <x:c r="E159" s="41" t="n">
        <x:v>2.95</x:v>
      </x:c>
      <x:c r="F159" s="41" t="n">
        <x:v>0.25</x:v>
      </x:c>
      <x:c r="G159" s="134" t="n">
        <x:v>31.5751</x:v>
      </x:c>
    </x:row>
    <x:row r="160">
      <x:c r="A160" s="40" t="n">
        <x:v>156</x:v>
      </x:c>
      <x:c r="B160" s="40" t="n">
        <x:v>10</x:v>
      </x:c>
      <x:c r="C160" s="40" t="n">
        <x:v>3</x:v>
      </x:c>
      <x:c r="D160" s="36" t="str">
        <x:v>direita → esquerda</x:v>
      </x:c>
      <x:c r="E160" s="41" t="n">
        <x:v>2.7</x:v>
      </x:c>
      <x:c r="F160" s="41" t="n">
        <x:v>0.25</x:v>
      </x:c>
      <x:c r="G160" s="134" t="n">
        <x:v>24.9915</x:v>
      </x:c>
    </x:row>
    <x:row r="161">
      <x:c r="A161" s="40" t="n">
        <x:v>157</x:v>
      </x:c>
      <x:c r="B161" s="40" t="n">
        <x:v>10</x:v>
      </x:c>
      <x:c r="C161" s="40" t="n">
        <x:v>4</x:v>
      </x:c>
      <x:c r="D161" s="36" t="str">
        <x:v>direita → esquerda</x:v>
      </x:c>
      <x:c r="E161" s="41" t="n">
        <x:v>2.45</x:v>
      </x:c>
      <x:c r="F161" s="41" t="n">
        <x:v>0.25</x:v>
      </x:c>
      <x:c r="G161" s="134" t="n">
        <x:v>24.1139</x:v>
      </x:c>
    </x:row>
    <x:row r="162">
      <x:c r="A162" s="40" t="n">
        <x:v>158</x:v>
      </x:c>
      <x:c r="B162" s="40" t="n">
        <x:v>10</x:v>
      </x:c>
      <x:c r="C162" s="40" t="n">
        <x:v>5</x:v>
      </x:c>
      <x:c r="D162" s="36" t="str">
        <x:v>direita → esquerda</x:v>
      </x:c>
      <x:c r="E162" s="41" t="n">
        <x:v>2.2</x:v>
      </x:c>
      <x:c r="F162" s="41" t="n">
        <x:v>0.25</x:v>
      </x:c>
      <x:c r="G162" s="134" t="n">
        <x:v>18.5613</x:v>
      </x:c>
    </x:row>
    <x:row r="163">
      <x:c r="A163" s="40" t="n">
        <x:v>159</x:v>
      </x:c>
      <x:c r="B163" s="40" t="n">
        <x:v>10</x:v>
      </x:c>
      <x:c r="C163" s="40" t="n">
        <x:v>6</x:v>
      </x:c>
      <x:c r="D163" s="36" t="str">
        <x:v>direita → esquerda</x:v>
      </x:c>
      <x:c r="E163" s="41" t="n">
        <x:v>1.95</x:v>
      </x:c>
      <x:c r="F163" s="41" t="n">
        <x:v>0.25</x:v>
      </x:c>
      <x:c r="G163" s="134" t="n">
        <x:v>20.4038</x:v>
      </x:c>
    </x:row>
    <x:row r="164">
      <x:c r="A164" s="40" t="n">
        <x:v>160</x:v>
      </x:c>
      <x:c r="B164" s="40" t="n">
        <x:v>10</x:v>
      </x:c>
      <x:c r="C164" s="40" t="n">
        <x:v>7</x:v>
      </x:c>
      <x:c r="D164" s="36" t="str">
        <x:v>direita → esquerda</x:v>
      </x:c>
      <x:c r="E164" s="41" t="n">
        <x:v>1.7</x:v>
      </x:c>
      <x:c r="F164" s="41" t="n">
        <x:v>0.25</x:v>
      </x:c>
      <x:c r="G164" s="134" t="n">
        <x:v>19.2557</x:v>
      </x:c>
    </x:row>
    <x:row r="165">
      <x:c r="A165" s="40" t="n">
        <x:v>161</x:v>
      </x:c>
      <x:c r="B165" s="40" t="n">
        <x:v>10</x:v>
      </x:c>
      <x:c r="C165" s="40" t="n">
        <x:v>8</x:v>
      </x:c>
      <x:c r="D165" s="36" t="str">
        <x:v>direita → esquerda</x:v>
      </x:c>
      <x:c r="E165" s="41" t="n">
        <x:v>1.45</x:v>
      </x:c>
      <x:c r="F165" s="41" t="n">
        <x:v>0.25</x:v>
      </x:c>
      <x:c r="G165" s="134" t="n">
        <x:v>18.3046</x:v>
      </x:c>
    </x:row>
    <x:row r="166">
      <x:c r="A166" s="40" t="n">
        <x:v>162</x:v>
      </x:c>
      <x:c r="B166" s="40" t="n">
        <x:v>10</x:v>
      </x:c>
      <x:c r="C166" s="40" t="n">
        <x:v>9</x:v>
      </x:c>
      <x:c r="D166" s="36" t="str">
        <x:v>direita → esquerda</x:v>
      </x:c>
      <x:c r="E166" s="41" t="n">
        <x:v>1.2</x:v>
      </x:c>
      <x:c r="F166" s="41" t="n">
        <x:v>0.25</x:v>
      </x:c>
      <x:c r="G166" s="134" t="n">
        <x:v>20.6565</x:v>
      </x:c>
    </x:row>
    <x:row r="167">
      <x:c r="A167" s="40" t="n">
        <x:v>163</x:v>
      </x:c>
      <x:c r="B167" s="40" t="n">
        <x:v>10</x:v>
      </x:c>
      <x:c r="C167" s="40" t="n">
        <x:v>10</x:v>
      </x:c>
      <x:c r="D167" s="36" t="str">
        <x:v>direita → esquerda</x:v>
      </x:c>
      <x:c r="E167" s="41" t="n">
        <x:v>0.95</x:v>
      </x:c>
      <x:c r="F167" s="41" t="n">
        <x:v>0.25</x:v>
      </x:c>
      <x:c r="G167" s="134" t="n">
        <x:v>18.2624</x:v>
      </x:c>
    </x:row>
    <x:row r="168">
      <x:c r="A168" s="40" t="n">
        <x:v>164</x:v>
      </x:c>
      <x:c r="B168" s="40" t="n">
        <x:v>10</x:v>
      </x:c>
      <x:c r="C168" s="40" t="n">
        <x:v>11</x:v>
      </x:c>
      <x:c r="D168" s="36" t="str">
        <x:v>direita → esquerda</x:v>
      </x:c>
      <x:c r="E168" s="41" t="n">
        <x:v>0.7</x:v>
      </x:c>
      <x:c r="F168" s="41" t="n">
        <x:v>0.25</x:v>
      </x:c>
      <x:c r="G168" s="134" t="n">
        <x:v>17.1073</x:v>
      </x:c>
    </x:row>
    <x:row r="169">
      <x:c r="A169" s="40" t="n">
        <x:v>165</x:v>
      </x:c>
      <x:c r="B169" s="40" t="n">
        <x:v>10</x:v>
      </x:c>
      <x:c r="C169" s="40" t="n">
        <x:v>12</x:v>
      </x:c>
      <x:c r="D169" s="36" t="str">
        <x:v>direita → esquerda</x:v>
      </x:c>
      <x:c r="E169" s="41" t="n">
        <x:v>0.44999999999999996</x:v>
      </x:c>
      <x:c r="F169" s="41" t="n">
        <x:v>0.25</x:v>
      </x:c>
      <x:c r="G169" s="134" t="n">
        <x:v>23.298</x:v>
      </x:c>
    </x:row>
    <x:row r="170">
      <x:c r="A170" s="40" t="n">
        <x:v>166</x:v>
      </x:c>
      <x:c r="B170" s="40" t="n">
        <x:v>10</x:v>
      </x:c>
      <x:c r="C170" s="40" t="n">
        <x:v>13</x:v>
      </x:c>
      <x:c r="D170" s="36" t="str">
        <x:v>direita → esquerda</x:v>
      </x:c>
      <x:c r="E170" s="41" t="n">
        <x:v>0.19999999999999996</x:v>
      </x:c>
      <x:c r="F170" s="41" t="n">
        <x:v>0.25</x:v>
      </x:c>
      <x:c r="G170" s="134" t="n">
        <x:v>20.507</x:v>
      </x:c>
    </x:row>
    <x:row r="171">
      <x:c r="A171" s="40" t="n">
        <x:v>167</x:v>
      </x:c>
      <x:c r="B171" s="40" t="n">
        <x:v>10</x:v>
      </x:c>
      <x:c r="C171" s="40" t="n">
        <x:v>14</x:v>
      </x:c>
      <x:c r="D171" s="36" t="str">
        <x:v>direita → esquerda</x:v>
      </x:c>
      <x:c r="E171" s="41" t="n">
        <x:v>-0.050000000000000044</x:v>
      </x:c>
      <x:c r="F171" s="41" t="n">
        <x:v>0.25</x:v>
      </x:c>
      <x:c r="G171" s="134" t="n">
        <x:v>26.1461</x:v>
      </x:c>
    </x:row>
    <x:row r="172">
      <x:c r="A172" s="40" t="n">
        <x:v>168</x:v>
      </x:c>
      <x:c r="B172" s="40" t="n">
        <x:v>10</x:v>
      </x:c>
      <x:c r="C172" s="40" t="n">
        <x:v>15</x:v>
      </x:c>
      <x:c r="D172" s="36" t="str">
        <x:v>direita → esquerda</x:v>
      </x:c>
      <x:c r="E172" s="41" t="n">
        <x:v>-0.30000000000000004</x:v>
      </x:c>
      <x:c r="F172" s="41" t="n">
        <x:v>0.25</x:v>
      </x:c>
      <x:c r="G172" s="134" t="n">
        <x:v>28.9954</x:v>
      </x:c>
    </x:row>
    <x:row r="173">
      <x:c r="A173" s="40" t="n">
        <x:v>169</x:v>
      </x:c>
      <x:c r="B173" s="40" t="n">
        <x:v>10</x:v>
      </x:c>
      <x:c r="C173" s="40" t="n">
        <x:v>16</x:v>
      </x:c>
      <x:c r="D173" s="36" t="str">
        <x:v>direita → esquerda</x:v>
      </x:c>
      <x:c r="E173" s="41" t="n">
        <x:v>-0.55</x:v>
      </x:c>
      <x:c r="F173" s="41" t="n">
        <x:v>0.25</x:v>
      </x:c>
      <x:c r="G173" s="134" t="n">
        <x:v>27.8911</x:v>
      </x:c>
    </x:row>
    <x:row r="174">
      <x:c r="A174" s="40" t="n">
        <x:v>170</x:v>
      </x:c>
      <x:c r="B174" s="40" t="n">
        <x:v>10</x:v>
      </x:c>
      <x:c r="C174" s="40" t="n">
        <x:v>17</x:v>
      </x:c>
      <x:c r="D174" s="36" t="str">
        <x:v>direita → esquerda</x:v>
      </x:c>
      <x:c r="E174" s="41" t="n">
        <x:v>-0.8</x:v>
      </x:c>
      <x:c r="F174" s="41" t="n">
        <x:v>0.25</x:v>
      </x:c>
      <x:c r="G174" s="134" t="n">
        <x:v>34.2081</x:v>
      </x:c>
    </x:row>
    <x:row r="175">
      <x:c r="A175" s="40" t="n">
        <x:v>171</x:v>
      </x:c>
      <x:c r="B175" s="40" t="n">
        <x:v>11</x:v>
      </x:c>
      <x:c r="C175" s="40" t="n">
        <x:v>1</x:v>
      </x:c>
      <x:c r="D175" s="36" t="str">
        <x:v>esquerda → direita</x:v>
      </x:c>
      <x:c r="E175" s="41" t="n">
        <x:v>-0.8</x:v>
      </x:c>
      <x:c r="F175" s="41" t="n">
        <x:v>0.5</x:v>
      </x:c>
      <x:c r="G175" s="134" t="n">
        <x:v>32.3154</x:v>
      </x:c>
    </x:row>
    <x:row r="176">
      <x:c r="A176" s="40" t="n">
        <x:v>172</x:v>
      </x:c>
      <x:c r="B176" s="40" t="n">
        <x:v>11</x:v>
      </x:c>
      <x:c r="C176" s="40" t="n">
        <x:v>2</x:v>
      </x:c>
      <x:c r="D176" s="36" t="str">
        <x:v>esquerda → direita</x:v>
      </x:c>
      <x:c r="E176" s="41" t="n">
        <x:v>-0.55</x:v>
      </x:c>
      <x:c r="F176" s="41" t="n">
        <x:v>0.5</x:v>
      </x:c>
      <x:c r="G176" s="134" t="n">
        <x:v>31.4638</x:v>
      </x:c>
    </x:row>
    <x:row r="177">
      <x:c r="A177" s="40" t="n">
        <x:v>173</x:v>
      </x:c>
      <x:c r="B177" s="40" t="n">
        <x:v>11</x:v>
      </x:c>
      <x:c r="C177" s="40" t="n">
        <x:v>3</x:v>
      </x:c>
      <x:c r="D177" s="36" t="str">
        <x:v>esquerda → direita</x:v>
      </x:c>
      <x:c r="E177" s="41" t="n">
        <x:v>-0.30000000000000004</x:v>
      </x:c>
      <x:c r="F177" s="41" t="n">
        <x:v>0.5</x:v>
      </x:c>
      <x:c r="G177" s="134" t="n">
        <x:v>27.3251</x:v>
      </x:c>
    </x:row>
    <x:row r="178">
      <x:c r="A178" s="40" t="n">
        <x:v>174</x:v>
      </x:c>
      <x:c r="B178" s="40" t="n">
        <x:v>11</x:v>
      </x:c>
      <x:c r="C178" s="40" t="n">
        <x:v>4</x:v>
      </x:c>
      <x:c r="D178" s="36" t="str">
        <x:v>esquerda → direita</x:v>
      </x:c>
      <x:c r="E178" s="41" t="n">
        <x:v>-0.050000000000000044</x:v>
      </x:c>
      <x:c r="F178" s="41" t="n">
        <x:v>0.5</x:v>
      </x:c>
      <x:c r="G178" s="134" t="n">
        <x:v>29.1438</x:v>
      </x:c>
    </x:row>
    <x:row r="179">
      <x:c r="A179" s="40" t="n">
        <x:v>175</x:v>
      </x:c>
      <x:c r="B179" s="40" t="n">
        <x:v>11</x:v>
      </x:c>
      <x:c r="C179" s="40" t="n">
        <x:v>5</x:v>
      </x:c>
      <x:c r="D179" s="36" t="str">
        <x:v>esquerda → direita</x:v>
      </x:c>
      <x:c r="E179" s="41" t="n">
        <x:v>0.19999999999999996</x:v>
      </x:c>
      <x:c r="F179" s="41" t="n">
        <x:v>0.5</x:v>
      </x:c>
      <x:c r="G179" s="134" t="n">
        <x:v>23.3487</x:v>
      </x:c>
    </x:row>
    <x:row r="180">
      <x:c r="A180" s="40" t="n">
        <x:v>176</x:v>
      </x:c>
      <x:c r="B180" s="40" t="n">
        <x:v>11</x:v>
      </x:c>
      <x:c r="C180" s="40" t="n">
        <x:v>6</x:v>
      </x:c>
      <x:c r="D180" s="36" t="str">
        <x:v>esquerda → direita</x:v>
      </x:c>
      <x:c r="E180" s="41" t="n">
        <x:v>0.44999999999999996</x:v>
      </x:c>
      <x:c r="F180" s="41" t="n">
        <x:v>0.5</x:v>
      </x:c>
      <x:c r="G180" s="134" t="n">
        <x:v>20.3959</x:v>
      </x:c>
    </x:row>
    <x:row r="181">
      <x:c r="A181" s="40" t="n">
        <x:v>177</x:v>
      </x:c>
      <x:c r="B181" s="40" t="n">
        <x:v>11</x:v>
      </x:c>
      <x:c r="C181" s="40" t="n">
        <x:v>7</x:v>
      </x:c>
      <x:c r="D181" s="36" t="str">
        <x:v>esquerda → direita</x:v>
      </x:c>
      <x:c r="E181" s="41" t="n">
        <x:v>0.7</x:v>
      </x:c>
      <x:c r="F181" s="41" t="n">
        <x:v>0.5</x:v>
      </x:c>
      <x:c r="G181" s="134" t="n">
        <x:v>24.325</x:v>
      </x:c>
    </x:row>
    <x:row r="182">
      <x:c r="A182" s="40" t="n">
        <x:v>178</x:v>
      </x:c>
      <x:c r="B182" s="40" t="n">
        <x:v>11</x:v>
      </x:c>
      <x:c r="C182" s="40" t="n">
        <x:v>8</x:v>
      </x:c>
      <x:c r="D182" s="36" t="str">
        <x:v>esquerda → direita</x:v>
      </x:c>
      <x:c r="E182" s="41" t="n">
        <x:v>0.95</x:v>
      </x:c>
      <x:c r="F182" s="41" t="n">
        <x:v>0.5</x:v>
      </x:c>
      <x:c r="G182" s="134" t="n">
        <x:v>20.9053</x:v>
      </x:c>
    </x:row>
    <x:row r="183">
      <x:c r="A183" s="40" t="n">
        <x:v>179</x:v>
      </x:c>
      <x:c r="B183" s="40" t="n">
        <x:v>11</x:v>
      </x:c>
      <x:c r="C183" s="40" t="n">
        <x:v>9</x:v>
      </x:c>
      <x:c r="D183" s="36" t="str">
        <x:v>esquerda → direita</x:v>
      </x:c>
      <x:c r="E183" s="41" t="n">
        <x:v>1.2</x:v>
      </x:c>
      <x:c r="F183" s="41" t="n">
        <x:v>0.5</x:v>
      </x:c>
      <x:c r="G183" s="134" t="n">
        <x:v>21.4084</x:v>
      </x:c>
    </x:row>
    <x:row r="184">
      <x:c r="A184" s="40" t="n">
        <x:v>180</x:v>
      </x:c>
      <x:c r="B184" s="40" t="n">
        <x:v>11</x:v>
      </x:c>
      <x:c r="C184" s="40" t="n">
        <x:v>10</x:v>
      </x:c>
      <x:c r="D184" s="36" t="str">
        <x:v>esquerda → direita</x:v>
      </x:c>
      <x:c r="E184" s="41" t="n">
        <x:v>1.45</x:v>
      </x:c>
      <x:c r="F184" s="41" t="n">
        <x:v>0.5</x:v>
      </x:c>
      <x:c r="G184" s="134" t="n">
        <x:v>24.4055</x:v>
      </x:c>
    </x:row>
    <x:row r="185">
      <x:c r="A185" s="40" t="n">
        <x:v>181</x:v>
      </x:c>
      <x:c r="B185" s="40" t="n">
        <x:v>11</x:v>
      </x:c>
      <x:c r="C185" s="40" t="n">
        <x:v>11</x:v>
      </x:c>
      <x:c r="D185" s="36" t="str">
        <x:v>esquerda → direita</x:v>
      </x:c>
      <x:c r="E185" s="41" t="n">
        <x:v>1.7</x:v>
      </x:c>
      <x:c r="F185" s="41" t="n">
        <x:v>0.5</x:v>
      </x:c>
      <x:c r="G185" s="134" t="n">
        <x:v>24.1555</x:v>
      </x:c>
    </x:row>
    <x:row r="186">
      <x:c r="A186" s="40" t="n">
        <x:v>182</x:v>
      </x:c>
      <x:c r="B186" s="40" t="n">
        <x:v>11</x:v>
      </x:c>
      <x:c r="C186" s="40" t="n">
        <x:v>12</x:v>
      </x:c>
      <x:c r="D186" s="36" t="str">
        <x:v>esquerda → direita</x:v>
      </x:c>
      <x:c r="E186" s="41" t="n">
        <x:v>1.95</x:v>
      </x:c>
      <x:c r="F186" s="41" t="n">
        <x:v>0.5</x:v>
      </x:c>
      <x:c r="G186" s="134" t="n">
        <x:v>24.3225</x:v>
      </x:c>
    </x:row>
    <x:row r="187">
      <x:c r="A187" s="40" t="n">
        <x:v>183</x:v>
      </x:c>
      <x:c r="B187" s="40" t="n">
        <x:v>11</x:v>
      </x:c>
      <x:c r="C187" s="40" t="n">
        <x:v>13</x:v>
      </x:c>
      <x:c r="D187" s="36" t="str">
        <x:v>esquerda → direita</x:v>
      </x:c>
      <x:c r="E187" s="41" t="n">
        <x:v>2.2</x:v>
      </x:c>
      <x:c r="F187" s="41" t="n">
        <x:v>0.5</x:v>
      </x:c>
      <x:c r="G187" s="134" t="n">
        <x:v>26.7462</x:v>
      </x:c>
    </x:row>
    <x:row r="188">
      <x:c r="A188" s="40" t="n">
        <x:v>184</x:v>
      </x:c>
      <x:c r="B188" s="40" t="n">
        <x:v>11</x:v>
      </x:c>
      <x:c r="C188" s="40" t="n">
        <x:v>14</x:v>
      </x:c>
      <x:c r="D188" s="36" t="str">
        <x:v>esquerda → direita</x:v>
      </x:c>
      <x:c r="E188" s="41" t="n">
        <x:v>2.45</x:v>
      </x:c>
      <x:c r="F188" s="41" t="n">
        <x:v>0.5</x:v>
      </x:c>
      <x:c r="G188" s="134" t="n">
        <x:v>25.5388</x:v>
      </x:c>
    </x:row>
    <x:row r="189">
      <x:c r="A189" s="40" t="n">
        <x:v>185</x:v>
      </x:c>
      <x:c r="B189" s="40" t="n">
        <x:v>11</x:v>
      </x:c>
      <x:c r="C189" s="40" t="n">
        <x:v>15</x:v>
      </x:c>
      <x:c r="D189" s="36" t="str">
        <x:v>esquerda → direita</x:v>
      </x:c>
      <x:c r="E189" s="41" t="n">
        <x:v>2.7</x:v>
      </x:c>
      <x:c r="F189" s="41" t="n">
        <x:v>0.5</x:v>
      </x:c>
      <x:c r="G189" s="134" t="n">
        <x:v>30.3146</x:v>
      </x:c>
    </x:row>
    <x:row r="190">
      <x:c r="A190" s="40" t="n">
        <x:v>186</x:v>
      </x:c>
      <x:c r="B190" s="40" t="n">
        <x:v>11</x:v>
      </x:c>
      <x:c r="C190" s="40" t="n">
        <x:v>16</x:v>
      </x:c>
      <x:c r="D190" s="36" t="str">
        <x:v>esquerda → direita</x:v>
      </x:c>
      <x:c r="E190" s="41" t="n">
        <x:v>2.95</x:v>
      </x:c>
      <x:c r="F190" s="41" t="n">
        <x:v>0.5</x:v>
      </x:c>
      <x:c r="G190" s="134" t="n">
        <x:v>32.7949</x:v>
      </x:c>
    </x:row>
    <x:row r="191">
      <x:c r="A191" s="40" t="n">
        <x:v>187</x:v>
      </x:c>
      <x:c r="B191" s="40" t="n">
        <x:v>11</x:v>
      </x:c>
      <x:c r="C191" s="40" t="n">
        <x:v>17</x:v>
      </x:c>
      <x:c r="D191" s="36" t="str">
        <x:v>esquerda → direita</x:v>
      </x:c>
      <x:c r="E191" s="41" t="n">
        <x:v>3.2</x:v>
      </x:c>
      <x:c r="F191" s="41" t="n">
        <x:v>0.5</x:v>
      </x:c>
      <x:c r="G191" s="134" t="n">
        <x:v>33.4306</x:v>
      </x:c>
    </x:row>
    <x:row r="192">
      <x:c r="A192" s="40" t="n">
        <x:v>188</x:v>
      </x:c>
      <x:c r="B192" s="40" t="n">
        <x:v>12</x:v>
      </x:c>
      <x:c r="C192" s="40" t="n">
        <x:v>1</x:v>
      </x:c>
      <x:c r="D192" s="36" t="str">
        <x:v>direita → esquerda</x:v>
      </x:c>
      <x:c r="E192" s="41" t="n">
        <x:v>3.2</x:v>
      </x:c>
      <x:c r="F192" s="41" t="n">
        <x:v>0.75</x:v>
      </x:c>
      <x:c r="G192" s="134" t="n">
        <x:v>31.8236</x:v>
      </x:c>
    </x:row>
    <x:row r="193">
      <x:c r="A193" s="40" t="n">
        <x:v>189</x:v>
      </x:c>
      <x:c r="B193" s="40" t="n">
        <x:v>12</x:v>
      </x:c>
      <x:c r="C193" s="40" t="n">
        <x:v>2</x:v>
      </x:c>
      <x:c r="D193" s="36" t="str">
        <x:v>direita → esquerda</x:v>
      </x:c>
      <x:c r="E193" s="41" t="n">
        <x:v>2.95</x:v>
      </x:c>
      <x:c r="F193" s="41" t="n">
        <x:v>0.75</x:v>
      </x:c>
      <x:c r="G193" s="134" t="n">
        <x:v>25.2004</x:v>
      </x:c>
    </x:row>
    <x:row r="194">
      <x:c r="A194" s="40" t="n">
        <x:v>190</x:v>
      </x:c>
      <x:c r="B194" s="40" t="n">
        <x:v>12</x:v>
      </x:c>
      <x:c r="C194" s="40" t="n">
        <x:v>3</x:v>
      </x:c>
      <x:c r="D194" s="36" t="str">
        <x:v>direita → esquerda</x:v>
      </x:c>
      <x:c r="E194" s="41" t="n">
        <x:v>2.7</x:v>
      </x:c>
      <x:c r="F194" s="41" t="n">
        <x:v>0.75</x:v>
      </x:c>
      <x:c r="G194" s="134" t="n">
        <x:v>31.2302</x:v>
      </x:c>
    </x:row>
    <x:row r="195">
      <x:c r="A195" s="40" t="n">
        <x:v>191</x:v>
      </x:c>
      <x:c r="B195" s="40" t="n">
        <x:v>12</x:v>
      </x:c>
      <x:c r="C195" s="40" t="n">
        <x:v>4</x:v>
      </x:c>
      <x:c r="D195" s="36" t="str">
        <x:v>direita → esquerda</x:v>
      </x:c>
      <x:c r="E195" s="41" t="n">
        <x:v>2.45</x:v>
      </x:c>
      <x:c r="F195" s="41" t="n">
        <x:v>0.75</x:v>
      </x:c>
      <x:c r="G195" s="134" t="n">
        <x:v>29.006</x:v>
      </x:c>
    </x:row>
    <x:row r="196">
      <x:c r="A196" s="40" t="n">
        <x:v>192</x:v>
      </x:c>
      <x:c r="B196" s="40" t="n">
        <x:v>12</x:v>
      </x:c>
      <x:c r="C196" s="40" t="n">
        <x:v>5</x:v>
      </x:c>
      <x:c r="D196" s="36" t="str">
        <x:v>direita → esquerda</x:v>
      </x:c>
      <x:c r="E196" s="41" t="n">
        <x:v>2.2</x:v>
      </x:c>
      <x:c r="F196" s="41" t="n">
        <x:v>0.75</x:v>
      </x:c>
      <x:c r="G196" s="134" t="n">
        <x:v>26.8066</x:v>
      </x:c>
    </x:row>
    <x:row r="197">
      <x:c r="A197" s="40" t="n">
        <x:v>193</x:v>
      </x:c>
      <x:c r="B197" s="40" t="n">
        <x:v>12</x:v>
      </x:c>
      <x:c r="C197" s="40" t="n">
        <x:v>6</x:v>
      </x:c>
      <x:c r="D197" s="36" t="str">
        <x:v>direita → esquerda</x:v>
      </x:c>
      <x:c r="E197" s="41" t="n">
        <x:v>1.95</x:v>
      </x:c>
      <x:c r="F197" s="41" t="n">
        <x:v>0.75</x:v>
      </x:c>
      <x:c r="G197" s="134" t="n">
        <x:v>27.8072</x:v>
      </x:c>
    </x:row>
    <x:row r="198">
      <x:c r="A198" s="40" t="n">
        <x:v>194</x:v>
      </x:c>
      <x:c r="B198" s="40" t="n">
        <x:v>12</x:v>
      </x:c>
      <x:c r="C198" s="40" t="n">
        <x:v>7</x:v>
      </x:c>
      <x:c r="D198" s="36" t="str">
        <x:v>direita → esquerda</x:v>
      </x:c>
      <x:c r="E198" s="41" t="n">
        <x:v>1.7</x:v>
      </x:c>
      <x:c r="F198" s="41" t="n">
        <x:v>0.75</x:v>
      </x:c>
      <x:c r="G198" s="134" t="n">
        <x:v>26.0793</x:v>
      </x:c>
    </x:row>
    <x:row r="199">
      <x:c r="A199" s="40" t="n">
        <x:v>195</x:v>
      </x:c>
      <x:c r="B199" s="40" t="n">
        <x:v>12</x:v>
      </x:c>
      <x:c r="C199" s="40" t="n">
        <x:v>8</x:v>
      </x:c>
      <x:c r="D199" s="36" t="str">
        <x:v>direita → esquerda</x:v>
      </x:c>
      <x:c r="E199" s="41" t="n">
        <x:v>1.45</x:v>
      </x:c>
      <x:c r="F199" s="41" t="n">
        <x:v>0.75</x:v>
      </x:c>
      <x:c r="G199" s="134" t="n">
        <x:v>25.4994</x:v>
      </x:c>
    </x:row>
    <x:row r="200">
      <x:c r="A200" s="40" t="n">
        <x:v>196</x:v>
      </x:c>
      <x:c r="B200" s="40" t="n">
        <x:v>12</x:v>
      </x:c>
      <x:c r="C200" s="40" t="n">
        <x:v>9</x:v>
      </x:c>
      <x:c r="D200" s="36" t="str">
        <x:v>direita → esquerda</x:v>
      </x:c>
      <x:c r="E200" s="41" t="n">
        <x:v>1.2</x:v>
      </x:c>
      <x:c r="F200" s="41" t="n">
        <x:v>0.75</x:v>
      </x:c>
      <x:c r="G200" s="134" t="n">
        <x:v>22.4924</x:v>
      </x:c>
    </x:row>
    <x:row r="201">
      <x:c r="A201" s="40" t="n">
        <x:v>197</x:v>
      </x:c>
      <x:c r="B201" s="40" t="n">
        <x:v>12</x:v>
      </x:c>
      <x:c r="C201" s="40" t="n">
        <x:v>10</x:v>
      </x:c>
      <x:c r="D201" s="36" t="str">
        <x:v>direita → esquerda</x:v>
      </x:c>
      <x:c r="E201" s="41" t="n">
        <x:v>0.95</x:v>
      </x:c>
      <x:c r="F201" s="41" t="n">
        <x:v>0.75</x:v>
      </x:c>
      <x:c r="G201" s="134" t="n">
        <x:v>22.6988</x:v>
      </x:c>
    </x:row>
    <x:row r="202">
      <x:c r="A202" s="40" t="n">
        <x:v>198</x:v>
      </x:c>
      <x:c r="B202" s="40" t="n">
        <x:v>12</x:v>
      </x:c>
      <x:c r="C202" s="40" t="n">
        <x:v>11</x:v>
      </x:c>
      <x:c r="D202" s="36" t="str">
        <x:v>direita → esquerda</x:v>
      </x:c>
      <x:c r="E202" s="41" t="n">
        <x:v>0.7</x:v>
      </x:c>
      <x:c r="F202" s="41" t="n">
        <x:v>0.75</x:v>
      </x:c>
      <x:c r="G202" s="134" t="n">
        <x:v>26.3442</x:v>
      </x:c>
    </x:row>
    <x:row r="203">
      <x:c r="A203" s="40" t="n">
        <x:v>199</x:v>
      </x:c>
      <x:c r="B203" s="40" t="n">
        <x:v>12</x:v>
      </x:c>
      <x:c r="C203" s="40" t="n">
        <x:v>12</x:v>
      </x:c>
      <x:c r="D203" s="36" t="str">
        <x:v>direita → esquerda</x:v>
      </x:c>
      <x:c r="E203" s="41" t="n">
        <x:v>0.44999999999999996</x:v>
      </x:c>
      <x:c r="F203" s="41" t="n">
        <x:v>0.75</x:v>
      </x:c>
      <x:c r="G203" s="134" t="n">
        <x:v>26.6729</x:v>
      </x:c>
    </x:row>
    <x:row r="204">
      <x:c r="A204" s="40" t="n">
        <x:v>200</x:v>
      </x:c>
      <x:c r="B204" s="40" t="n">
        <x:v>12</x:v>
      </x:c>
      <x:c r="C204" s="40" t="n">
        <x:v>13</x:v>
      </x:c>
      <x:c r="D204" s="36" t="str">
        <x:v>direita → esquerda</x:v>
      </x:c>
      <x:c r="E204" s="41" t="n">
        <x:v>0.19999999999999996</x:v>
      </x:c>
      <x:c r="F204" s="41" t="n">
        <x:v>0.75</x:v>
      </x:c>
      <x:c r="G204" s="134" t="n">
        <x:v>27.9336</x:v>
      </x:c>
    </x:row>
    <x:row r="205">
      <x:c r="A205" s="40" t="n">
        <x:v>201</x:v>
      </x:c>
      <x:c r="B205" s="40" t="n">
        <x:v>12</x:v>
      </x:c>
      <x:c r="C205" s="40" t="n">
        <x:v>14</x:v>
      </x:c>
      <x:c r="D205" s="36" t="str">
        <x:v>direita → esquerda</x:v>
      </x:c>
      <x:c r="E205" s="41" t="n">
        <x:v>-0.050000000000000044</x:v>
      </x:c>
      <x:c r="F205" s="41" t="n">
        <x:v>0.75</x:v>
      </x:c>
      <x:c r="G205" s="134" t="n">
        <x:v>29.335</x:v>
      </x:c>
    </x:row>
    <x:row r="206">
      <x:c r="A206" s="40" t="n">
        <x:v>202</x:v>
      </x:c>
      <x:c r="B206" s="40" t="n">
        <x:v>12</x:v>
      </x:c>
      <x:c r="C206" s="40" t="n">
        <x:v>15</x:v>
      </x:c>
      <x:c r="D206" s="36" t="str">
        <x:v>direita → esquerda</x:v>
      </x:c>
      <x:c r="E206" s="41" t="n">
        <x:v>-0.30000000000000004</x:v>
      </x:c>
      <x:c r="F206" s="41" t="n">
        <x:v>0.75</x:v>
      </x:c>
      <x:c r="G206" s="134" t="n">
        <x:v>31.2153</x:v>
      </x:c>
    </x:row>
    <x:row r="207">
      <x:c r="A207" s="40" t="n">
        <x:v>203</x:v>
      </x:c>
      <x:c r="B207" s="40" t="n">
        <x:v>12</x:v>
      </x:c>
      <x:c r="C207" s="40" t="n">
        <x:v>16</x:v>
      </x:c>
      <x:c r="D207" s="36" t="str">
        <x:v>direita → esquerda</x:v>
      </x:c>
      <x:c r="E207" s="41" t="n">
        <x:v>-0.55</x:v>
      </x:c>
      <x:c r="F207" s="41" t="n">
        <x:v>0.75</x:v>
      </x:c>
      <x:c r="G207" s="134" t="n">
        <x:v>31.6899</x:v>
      </x:c>
    </x:row>
    <x:row r="208">
      <x:c r="A208" s="40" t="n">
        <x:v>204</x:v>
      </x:c>
      <x:c r="B208" s="40" t="n">
        <x:v>12</x:v>
      </x:c>
      <x:c r="C208" s="40" t="n">
        <x:v>17</x:v>
      </x:c>
      <x:c r="D208" s="36" t="str">
        <x:v>direita → esquerda</x:v>
      </x:c>
      <x:c r="E208" s="41" t="n">
        <x:v>-0.8</x:v>
      </x:c>
      <x:c r="F208" s="41" t="n">
        <x:v>0.75</x:v>
      </x:c>
      <x:c r="G208" s="134" t="n">
        <x:v>33.0205</x:v>
      </x:c>
    </x:row>
    <x:row r="209">
      <x:c r="A209" s="40" t="n">
        <x:v>205</x:v>
      </x:c>
      <x:c r="B209" s="40" t="n">
        <x:v>13</x:v>
      </x:c>
      <x:c r="C209" s="40" t="n">
        <x:v>1</x:v>
      </x:c>
      <x:c r="D209" s="36" t="str">
        <x:v>esquerda → direita</x:v>
      </x:c>
      <x:c r="E209" s="41" t="n">
        <x:v>-0.8</x:v>
      </x:c>
      <x:c r="F209" s="41" t="n">
        <x:v>1</x:v>
      </x:c>
      <x:c r="G209" s="134" t="n">
        <x:v>33.7779</x:v>
      </x:c>
    </x:row>
    <x:row r="210">
      <x:c r="A210" s="40" t="n">
        <x:v>206</x:v>
      </x:c>
      <x:c r="B210" s="40" t="n">
        <x:v>13</x:v>
      </x:c>
      <x:c r="C210" s="40" t="n">
        <x:v>2</x:v>
      </x:c>
      <x:c r="D210" s="36" t="str">
        <x:v>esquerda → direita</x:v>
      </x:c>
      <x:c r="E210" s="41" t="n">
        <x:v>-0.55</x:v>
      </x:c>
      <x:c r="F210" s="41" t="n">
        <x:v>1</x:v>
      </x:c>
      <x:c r="G210" s="134" t="n">
        <x:v>34.4343</x:v>
      </x:c>
    </x:row>
    <x:row r="211">
      <x:c r="A211" s="40" t="n">
        <x:v>207</x:v>
      </x:c>
      <x:c r="B211" s="40" t="n">
        <x:v>13</x:v>
      </x:c>
      <x:c r="C211" s="40" t="n">
        <x:v>3</x:v>
      </x:c>
      <x:c r="D211" s="36" t="str">
        <x:v>esquerda → direita</x:v>
      </x:c>
      <x:c r="E211" s="41" t="n">
        <x:v>-0.30000000000000004</x:v>
      </x:c>
      <x:c r="F211" s="41" t="n">
        <x:v>1</x:v>
      </x:c>
      <x:c r="G211" s="134" t="n">
        <x:v>30.4193</x:v>
      </x:c>
    </x:row>
    <x:row r="212">
      <x:c r="A212" s="40" t="n">
        <x:v>208</x:v>
      </x:c>
      <x:c r="B212" s="40" t="n">
        <x:v>13</x:v>
      </x:c>
      <x:c r="C212" s="40" t="n">
        <x:v>4</x:v>
      </x:c>
      <x:c r="D212" s="36" t="str">
        <x:v>esquerda → direita</x:v>
      </x:c>
      <x:c r="E212" s="41" t="n">
        <x:v>-0.050000000000000044</x:v>
      </x:c>
      <x:c r="F212" s="41" t="n">
        <x:v>1</x:v>
      </x:c>
      <x:c r="G212" s="134" t="n">
        <x:v>32.1913</x:v>
      </x:c>
    </x:row>
    <x:row r="213">
      <x:c r="A213" s="40" t="n">
        <x:v>209</x:v>
      </x:c>
      <x:c r="B213" s="40" t="n">
        <x:v>13</x:v>
      </x:c>
      <x:c r="C213" s="40" t="n">
        <x:v>5</x:v>
      </x:c>
      <x:c r="D213" s="36" t="str">
        <x:v>esquerda → direita</x:v>
      </x:c>
      <x:c r="E213" s="41" t="n">
        <x:v>0.19999999999999996</x:v>
      </x:c>
      <x:c r="F213" s="41" t="n">
        <x:v>1</x:v>
      </x:c>
      <x:c r="G213" s="134" t="n">
        <x:v>30.94</x:v>
      </x:c>
    </x:row>
    <x:row r="214">
      <x:c r="A214" s="40" t="n">
        <x:v>210</x:v>
      </x:c>
      <x:c r="B214" s="40" t="n">
        <x:v>13</x:v>
      </x:c>
      <x:c r="C214" s="40" t="n">
        <x:v>6</x:v>
      </x:c>
      <x:c r="D214" s="36" t="str">
        <x:v>esquerda → direita</x:v>
      </x:c>
      <x:c r="E214" s="41" t="n">
        <x:v>0.44999999999999996</x:v>
      </x:c>
      <x:c r="F214" s="41" t="n">
        <x:v>1</x:v>
      </x:c>
      <x:c r="G214" s="134" t="n">
        <x:v>29.0965</x:v>
      </x:c>
    </x:row>
    <x:row r="215">
      <x:c r="A215" s="40" t="n">
        <x:v>211</x:v>
      </x:c>
      <x:c r="B215" s="40" t="n">
        <x:v>13</x:v>
      </x:c>
      <x:c r="C215" s="40" t="n">
        <x:v>7</x:v>
      </x:c>
      <x:c r="D215" s="36" t="str">
        <x:v>esquerda → direita</x:v>
      </x:c>
      <x:c r="E215" s="41" t="n">
        <x:v>0.7</x:v>
      </x:c>
      <x:c r="F215" s="41" t="n">
        <x:v>1</x:v>
      </x:c>
      <x:c r="G215" s="134" t="n">
        <x:v>27.4024</x:v>
      </x:c>
    </x:row>
    <x:row r="216">
      <x:c r="A216" s="40" t="n">
        <x:v>212</x:v>
      </x:c>
      <x:c r="B216" s="40" t="n">
        <x:v>13</x:v>
      </x:c>
      <x:c r="C216" s="40" t="n">
        <x:v>8</x:v>
      </x:c>
      <x:c r="D216" s="36" t="str">
        <x:v>esquerda → direita</x:v>
      </x:c>
      <x:c r="E216" s="41" t="n">
        <x:v>0.95</x:v>
      </x:c>
      <x:c r="F216" s="41" t="n">
        <x:v>1</x:v>
      </x:c>
      <x:c r="G216" s="134" t="n">
        <x:v>28.6435</x:v>
      </x:c>
    </x:row>
    <x:row r="217">
      <x:c r="A217" s="40" t="n">
        <x:v>213</x:v>
      </x:c>
      <x:c r="B217" s="40" t="n">
        <x:v>13</x:v>
      </x:c>
      <x:c r="C217" s="40" t="n">
        <x:v>9</x:v>
      </x:c>
      <x:c r="D217" s="36" t="str">
        <x:v>esquerda → direita</x:v>
      </x:c>
      <x:c r="E217" s="41" t="n">
        <x:v>1.2</x:v>
      </x:c>
      <x:c r="F217" s="41" t="n">
        <x:v>1</x:v>
      </x:c>
      <x:c r="G217" s="134" t="n">
        <x:v>29.4502</x:v>
      </x:c>
    </x:row>
    <x:row r="218">
      <x:c r="A218" s="40" t="n">
        <x:v>214</x:v>
      </x:c>
      <x:c r="B218" s="40" t="n">
        <x:v>13</x:v>
      </x:c>
      <x:c r="C218" s="40" t="n">
        <x:v>10</x:v>
      </x:c>
      <x:c r="D218" s="36" t="str">
        <x:v>esquerda → direita</x:v>
      </x:c>
      <x:c r="E218" s="41" t="n">
        <x:v>1.45</x:v>
      </x:c>
      <x:c r="F218" s="41" t="n">
        <x:v>1</x:v>
      </x:c>
      <x:c r="G218" s="134" t="n">
        <x:v>25.9418</x:v>
      </x:c>
    </x:row>
    <x:row r="219">
      <x:c r="A219" s="40" t="n">
        <x:v>215</x:v>
      </x:c>
      <x:c r="B219" s="40" t="n">
        <x:v>13</x:v>
      </x:c>
      <x:c r="C219" s="40" t="n">
        <x:v>11</x:v>
      </x:c>
      <x:c r="D219" s="36" t="str">
        <x:v>esquerda → direita</x:v>
      </x:c>
      <x:c r="E219" s="41" t="n">
        <x:v>1.7</x:v>
      </x:c>
      <x:c r="F219" s="41" t="n">
        <x:v>1</x:v>
      </x:c>
      <x:c r="G219" s="134" t="n">
        <x:v>28.4488</x:v>
      </x:c>
    </x:row>
    <x:row r="220">
      <x:c r="A220" s="40" t="n">
        <x:v>216</x:v>
      </x:c>
      <x:c r="B220" s="40" t="n">
        <x:v>13</x:v>
      </x:c>
      <x:c r="C220" s="40" t="n">
        <x:v>12</x:v>
      </x:c>
      <x:c r="D220" s="36" t="str">
        <x:v>esquerda → direita</x:v>
      </x:c>
      <x:c r="E220" s="41" t="n">
        <x:v>1.95</x:v>
      </x:c>
      <x:c r="F220" s="41" t="n">
        <x:v>1</x:v>
      </x:c>
      <x:c r="G220" s="134" t="n">
        <x:v>29.0538</x:v>
      </x:c>
    </x:row>
    <x:row r="221">
      <x:c r="A221" s="40" t="n">
        <x:v>217</x:v>
      </x:c>
      <x:c r="B221" s="40" t="n">
        <x:v>13</x:v>
      </x:c>
      <x:c r="C221" s="40" t="n">
        <x:v>13</x:v>
      </x:c>
      <x:c r="D221" s="36" t="str">
        <x:v>esquerda → direita</x:v>
      </x:c>
      <x:c r="E221" s="41" t="n">
        <x:v>2.2</x:v>
      </x:c>
      <x:c r="F221" s="41" t="n">
        <x:v>1</x:v>
      </x:c>
      <x:c r="G221" s="134" t="n">
        <x:v>28.3987</x:v>
      </x:c>
    </x:row>
    <x:row r="222">
      <x:c r="A222" s="40" t="n">
        <x:v>218</x:v>
      </x:c>
      <x:c r="B222" s="40" t="n">
        <x:v>13</x:v>
      </x:c>
      <x:c r="C222" s="40" t="n">
        <x:v>14</x:v>
      </x:c>
      <x:c r="D222" s="36" t="str">
        <x:v>esquerda → direita</x:v>
      </x:c>
      <x:c r="E222" s="41" t="n">
        <x:v>2.45</x:v>
      </x:c>
      <x:c r="F222" s="41" t="n">
        <x:v>1</x:v>
      </x:c>
      <x:c r="G222" s="134" t="n">
        <x:v>29.3614</x:v>
      </x:c>
    </x:row>
    <x:row r="223">
      <x:c r="A223" s="40" t="n">
        <x:v>219</x:v>
      </x:c>
      <x:c r="B223" s="40" t="n">
        <x:v>13</x:v>
      </x:c>
      <x:c r="C223" s="40" t="n">
        <x:v>15</x:v>
      </x:c>
      <x:c r="D223" s="36" t="str">
        <x:v>esquerda → direita</x:v>
      </x:c>
      <x:c r="E223" s="41" t="n">
        <x:v>2.7</x:v>
      </x:c>
      <x:c r="F223" s="41" t="n">
        <x:v>1</x:v>
      </x:c>
      <x:c r="G223" s="134" t="n">
        <x:v>28.2971</x:v>
      </x:c>
    </x:row>
    <x:row r="224">
      <x:c r="A224" s="40" t="n">
        <x:v>220</x:v>
      </x:c>
      <x:c r="B224" s="40" t="n">
        <x:v>13</x:v>
      </x:c>
      <x:c r="C224" s="40" t="n">
        <x:v>16</x:v>
      </x:c>
      <x:c r="D224" s="36" t="str">
        <x:v>esquerda → direita</x:v>
      </x:c>
      <x:c r="E224" s="41" t="n">
        <x:v>2.95</x:v>
      </x:c>
      <x:c r="F224" s="41" t="n">
        <x:v>1</x:v>
      </x:c>
      <x:c r="G224" s="134" t="n">
        <x:v>30.0881</x:v>
      </x:c>
    </x:row>
    <x:row r="225">
      <x:c r="A225" s="40" t="n">
        <x:v>221</x:v>
      </x:c>
      <x:c r="B225" s="40" t="n">
        <x:v>13</x:v>
      </x:c>
      <x:c r="C225" s="40" t="n">
        <x:v>17</x:v>
      </x:c>
      <x:c r="D225" s="36" t="str">
        <x:v>esquerda → direita</x:v>
      </x:c>
      <x:c r="E225" s="41" t="n">
        <x:v>3.2</x:v>
      </x:c>
      <x:c r="F225" s="41" t="n">
        <x:v>1</x:v>
      </x:c>
      <x:c r="G225" s="134" t="n">
        <x:v>29.8693</x:v>
      </x:c>
    </x:row>
    <x:row r="226">
      <x:c r="A226" s="40" t="n">
        <x:v>222</x:v>
      </x:c>
      <x:c r="B226" s="40" t="n">
        <x:v>14</x:v>
      </x:c>
      <x:c r="C226" s="40" t="n">
        <x:v>1</x:v>
      </x:c>
      <x:c r="D226" s="36" t="str">
        <x:v>direita → esquerda</x:v>
      </x:c>
      <x:c r="E226" s="41" t="n">
        <x:v>3.2</x:v>
      </x:c>
      <x:c r="F226" s="41" t="n">
        <x:v>1.25</x:v>
      </x:c>
      <x:c r="G226" s="134" t="n">
        <x:v>32.4141</x:v>
      </x:c>
    </x:row>
    <x:row r="227">
      <x:c r="A227" s="40" t="n">
        <x:v>223</x:v>
      </x:c>
      <x:c r="B227" s="40" t="n">
        <x:v>14</x:v>
      </x:c>
      <x:c r="C227" s="40" t="n">
        <x:v>2</x:v>
      </x:c>
      <x:c r="D227" s="36" t="str">
        <x:v>direita → esquerda</x:v>
      </x:c>
      <x:c r="E227" s="41" t="n">
        <x:v>2.95</x:v>
      </x:c>
      <x:c r="F227" s="41" t="n">
        <x:v>1.25</x:v>
      </x:c>
      <x:c r="G227" s="134" t="n">
        <x:v>31.9124</x:v>
      </x:c>
    </x:row>
    <x:row r="228">
      <x:c r="A228" s="40" t="n">
        <x:v>224</x:v>
      </x:c>
      <x:c r="B228" s="40" t="n">
        <x:v>14</x:v>
      </x:c>
      <x:c r="C228" s="40" t="n">
        <x:v>3</x:v>
      </x:c>
      <x:c r="D228" s="36" t="str">
        <x:v>direita → esquerda</x:v>
      </x:c>
      <x:c r="E228" s="41" t="n">
        <x:v>2.7</x:v>
      </x:c>
      <x:c r="F228" s="41" t="n">
        <x:v>1.25</x:v>
      </x:c>
      <x:c r="G228" s="134" t="n">
        <x:v>31.2797</x:v>
      </x:c>
    </x:row>
    <x:row r="229">
      <x:c r="A229" s="40" t="n">
        <x:v>225</x:v>
      </x:c>
      <x:c r="B229" s="40" t="n">
        <x:v>14</x:v>
      </x:c>
      <x:c r="C229" s="40" t="n">
        <x:v>4</x:v>
      </x:c>
      <x:c r="D229" s="36" t="str">
        <x:v>direita → esquerda</x:v>
      </x:c>
      <x:c r="E229" s="41" t="n">
        <x:v>2.45</x:v>
      </x:c>
      <x:c r="F229" s="41" t="n">
        <x:v>1.25</x:v>
      </x:c>
      <x:c r="G229" s="134" t="n">
        <x:v>32.5465</x:v>
      </x:c>
    </x:row>
    <x:row r="230">
      <x:c r="A230" s="40" t="n">
        <x:v>226</x:v>
      </x:c>
      <x:c r="B230" s="40" t="n">
        <x:v>14</x:v>
      </x:c>
      <x:c r="C230" s="40" t="n">
        <x:v>5</x:v>
      </x:c>
      <x:c r="D230" s="36" t="str">
        <x:v>direita → esquerda</x:v>
      </x:c>
      <x:c r="E230" s="41" t="n">
        <x:v>2.2</x:v>
      </x:c>
      <x:c r="F230" s="41" t="n">
        <x:v>1.25</x:v>
      </x:c>
      <x:c r="G230" s="134" t="n">
        <x:v>30.6883</x:v>
      </x:c>
    </x:row>
    <x:row r="231">
      <x:c r="A231" s="40" t="n">
        <x:v>227</x:v>
      </x:c>
      <x:c r="B231" s="40" t="n">
        <x:v>14</x:v>
      </x:c>
      <x:c r="C231" s="40" t="n">
        <x:v>6</x:v>
      </x:c>
      <x:c r="D231" s="36" t="str">
        <x:v>direita → esquerda</x:v>
      </x:c>
      <x:c r="E231" s="41" t="n">
        <x:v>1.95</x:v>
      </x:c>
      <x:c r="F231" s="41" t="n">
        <x:v>1.25</x:v>
      </x:c>
      <x:c r="G231" s="134" t="n">
        <x:v>29.0026</x:v>
      </x:c>
    </x:row>
    <x:row r="232">
      <x:c r="A232" s="40" t="n">
        <x:v>228</x:v>
      </x:c>
      <x:c r="B232" s="40" t="n">
        <x:v>14</x:v>
      </x:c>
      <x:c r="C232" s="40" t="n">
        <x:v>7</x:v>
      </x:c>
      <x:c r="D232" s="36" t="str">
        <x:v>direita → esquerda</x:v>
      </x:c>
      <x:c r="E232" s="41" t="n">
        <x:v>1.7</x:v>
      </x:c>
      <x:c r="F232" s="41" t="n">
        <x:v>1.25</x:v>
      </x:c>
      <x:c r="G232" s="134" t="n">
        <x:v>28.5915</x:v>
      </x:c>
    </x:row>
    <x:row r="233">
      <x:c r="A233" s="40" t="n">
        <x:v>229</x:v>
      </x:c>
      <x:c r="B233" s="40" t="n">
        <x:v>14</x:v>
      </x:c>
      <x:c r="C233" s="40" t="n">
        <x:v>8</x:v>
      </x:c>
      <x:c r="D233" s="36" t="str">
        <x:v>direita → esquerda</x:v>
      </x:c>
      <x:c r="E233" s="41" t="n">
        <x:v>1.45</x:v>
      </x:c>
      <x:c r="F233" s="41" t="n">
        <x:v>1.25</x:v>
      </x:c>
      <x:c r="G233" s="134" t="n">
        <x:v>27.4978</x:v>
      </x:c>
    </x:row>
    <x:row r="234">
      <x:c r="A234" s="40" t="n">
        <x:v>230</x:v>
      </x:c>
      <x:c r="B234" s="40" t="n">
        <x:v>14</x:v>
      </x:c>
      <x:c r="C234" s="40" t="n">
        <x:v>9</x:v>
      </x:c>
      <x:c r="D234" s="36" t="str">
        <x:v>direita → esquerda</x:v>
      </x:c>
      <x:c r="E234" s="41" t="n">
        <x:v>1.2</x:v>
      </x:c>
      <x:c r="F234" s="41" t="n">
        <x:v>1.25</x:v>
      </x:c>
      <x:c r="G234" s="134" t="n">
        <x:v>29.2681</x:v>
      </x:c>
    </x:row>
    <x:row r="235">
      <x:c r="A235" s="40" t="n">
        <x:v>231</x:v>
      </x:c>
      <x:c r="B235" s="40" t="n">
        <x:v>14</x:v>
      </x:c>
      <x:c r="C235" s="40" t="n">
        <x:v>10</x:v>
      </x:c>
      <x:c r="D235" s="36" t="str">
        <x:v>direita → esquerda</x:v>
      </x:c>
      <x:c r="E235" s="41" t="n">
        <x:v>0.95</x:v>
      </x:c>
      <x:c r="F235" s="41" t="n">
        <x:v>1.25</x:v>
      </x:c>
      <x:c r="G235" s="134" t="n">
        <x:v>29.3029</x:v>
      </x:c>
    </x:row>
    <x:row r="236">
      <x:c r="A236" s="40" t="n">
        <x:v>232</x:v>
      </x:c>
      <x:c r="B236" s="40" t="n">
        <x:v>14</x:v>
      </x:c>
      <x:c r="C236" s="40" t="n">
        <x:v>11</x:v>
      </x:c>
      <x:c r="D236" s="36" t="str">
        <x:v>direita → esquerda</x:v>
      </x:c>
      <x:c r="E236" s="41" t="n">
        <x:v>0.7</x:v>
      </x:c>
      <x:c r="F236" s="41" t="n">
        <x:v>1.25</x:v>
      </x:c>
      <x:c r="G236" s="134" t="n">
        <x:v>33.267</x:v>
      </x:c>
    </x:row>
    <x:row r="237">
      <x:c r="A237" s="40" t="n">
        <x:v>233</x:v>
      </x:c>
      <x:c r="B237" s="40" t="n">
        <x:v>14</x:v>
      </x:c>
      <x:c r="C237" s="40" t="n">
        <x:v>12</x:v>
      </x:c>
      <x:c r="D237" s="36" t="str">
        <x:v>direita → esquerda</x:v>
      </x:c>
      <x:c r="E237" s="41" t="n">
        <x:v>0.44999999999999996</x:v>
      </x:c>
      <x:c r="F237" s="41" t="n">
        <x:v>1.25</x:v>
      </x:c>
      <x:c r="G237" s="134" t="n">
        <x:v>33.5404</x:v>
      </x:c>
    </x:row>
    <x:row r="238">
      <x:c r="A238" s="40" t="n">
        <x:v>234</x:v>
      </x:c>
      <x:c r="B238" s="40" t="n">
        <x:v>14</x:v>
      </x:c>
      <x:c r="C238" s="40" t="n">
        <x:v>13</x:v>
      </x:c>
      <x:c r="D238" s="36" t="str">
        <x:v>direita → esquerda</x:v>
      </x:c>
      <x:c r="E238" s="41" t="n">
        <x:v>0.19999999999999996</x:v>
      </x:c>
      <x:c r="F238" s="41" t="n">
        <x:v>1.25</x:v>
      </x:c>
      <x:c r="G238" s="134" t="n">
        <x:v>34.0228</x:v>
      </x:c>
    </x:row>
    <x:row r="239">
      <x:c r="A239" s="40" t="n">
        <x:v>235</x:v>
      </x:c>
      <x:c r="B239" s="40" t="n">
        <x:v>14</x:v>
      </x:c>
      <x:c r="C239" s="40" t="n">
        <x:v>14</x:v>
      </x:c>
      <x:c r="D239" s="36" t="str">
        <x:v>direita → esquerda</x:v>
      </x:c>
      <x:c r="E239" s="41" t="n">
        <x:v>-0.050000000000000044</x:v>
      </x:c>
      <x:c r="F239" s="41" t="n">
        <x:v>1.25</x:v>
      </x:c>
      <x:c r="G239" s="134" t="n">
        <x:v>36.004</x:v>
      </x:c>
    </x:row>
    <x:row r="240">
      <x:c r="A240" s="40" t="n">
        <x:v>236</x:v>
      </x:c>
      <x:c r="B240" s="40" t="n">
        <x:v>14</x:v>
      </x:c>
      <x:c r="C240" s="40" t="n">
        <x:v>15</x:v>
      </x:c>
      <x:c r="D240" s="36" t="str">
        <x:v>direita → esquerda</x:v>
      </x:c>
      <x:c r="E240" s="41" t="n">
        <x:v>-0.30000000000000004</x:v>
      </x:c>
      <x:c r="F240" s="41" t="n">
        <x:v>1.25</x:v>
      </x:c>
      <x:c r="G240" s="134" t="n">
        <x:v>29.5721</x:v>
      </x:c>
    </x:row>
    <x:row r="241">
      <x:c r="A241" s="40" t="n">
        <x:v>237</x:v>
      </x:c>
      <x:c r="B241" s="40" t="n">
        <x:v>14</x:v>
      </x:c>
      <x:c r="C241" s="40" t="n">
        <x:v>16</x:v>
      </x:c>
      <x:c r="D241" s="36" t="str">
        <x:v>direita → esquerda</x:v>
      </x:c>
      <x:c r="E241" s="41" t="n">
        <x:v>-0.55</x:v>
      </x:c>
      <x:c r="F241" s="41" t="n">
        <x:v>1.25</x:v>
      </x:c>
      <x:c r="G241" s="134" t="n">
        <x:v>34.388</x:v>
      </x:c>
    </x:row>
    <x:row r="242">
      <x:c r="A242" s="40" t="n">
        <x:v>238</x:v>
      </x:c>
      <x:c r="B242" s="40" t="n">
        <x:v>14</x:v>
      </x:c>
      <x:c r="C242" s="40" t="n">
        <x:v>17</x:v>
      </x:c>
      <x:c r="D242" s="36" t="str">
        <x:v>direita → esquerda</x:v>
      </x:c>
      <x:c r="E242" s="41" t="n">
        <x:v>-0.8</x:v>
      </x:c>
      <x:c r="F242" s="41" t="n">
        <x:v>1.25</x:v>
      </x:c>
      <x:c r="G242" s="134" t="n">
        <x:v>35.2303</x:v>
      </x:c>
    </x:row>
    <x:row r="243">
      <x:c r="A243" s="40" t="n">
        <x:v>239</x:v>
      </x:c>
      <x:c r="B243" s="40" t="n">
        <x:v>15</x:v>
      </x:c>
      <x:c r="C243" s="40" t="n">
        <x:v>1</x:v>
      </x:c>
      <x:c r="D243" s="36" t="str">
        <x:v>esquerda → direita</x:v>
      </x:c>
      <x:c r="E243" s="41" t="n">
        <x:v>-0.8</x:v>
      </x:c>
      <x:c r="F243" s="41" t="n">
        <x:v>1.5</x:v>
      </x:c>
      <x:c r="G243" s="134" t="n">
        <x:v>35.0522</x:v>
      </x:c>
    </x:row>
    <x:row r="244">
      <x:c r="A244" s="40" t="n">
        <x:v>240</x:v>
      </x:c>
      <x:c r="B244" s="40" t="n">
        <x:v>15</x:v>
      </x:c>
      <x:c r="C244" s="40" t="n">
        <x:v>2</x:v>
      </x:c>
      <x:c r="D244" s="36" t="str">
        <x:v>esquerda → direita</x:v>
      </x:c>
      <x:c r="E244" s="41" t="n">
        <x:v>-0.55</x:v>
      </x:c>
      <x:c r="F244" s="41" t="n">
        <x:v>1.5</x:v>
      </x:c>
      <x:c r="G244" s="134" t="n">
        <x:v>38.2516</x:v>
      </x:c>
    </x:row>
    <x:row r="245">
      <x:c r="A245" s="40" t="n">
        <x:v>241</x:v>
      </x:c>
      <x:c r="B245" s="40" t="n">
        <x:v>15</x:v>
      </x:c>
      <x:c r="C245" s="40" t="n">
        <x:v>3</x:v>
      </x:c>
      <x:c r="D245" s="36" t="str">
        <x:v>esquerda → direita</x:v>
      </x:c>
      <x:c r="E245" s="41" t="n">
        <x:v>-0.30000000000000004</x:v>
      </x:c>
      <x:c r="F245" s="41" t="n">
        <x:v>1.5</x:v>
      </x:c>
      <x:c r="G245" s="134" t="n">
        <x:v>38.5448</x:v>
      </x:c>
    </x:row>
    <x:row r="246">
      <x:c r="A246" s="40" t="n">
        <x:v>242</x:v>
      </x:c>
      <x:c r="B246" s="40" t="n">
        <x:v>15</x:v>
      </x:c>
      <x:c r="C246" s="40" t="n">
        <x:v>4</x:v>
      </x:c>
      <x:c r="D246" s="36" t="str">
        <x:v>esquerda → direita</x:v>
      </x:c>
      <x:c r="E246" s="41" t="n">
        <x:v>-0.050000000000000044</x:v>
      </x:c>
      <x:c r="F246" s="41" t="n">
        <x:v>1.5</x:v>
      </x:c>
      <x:c r="G246" s="134" t="n">
        <x:v>34.4818</x:v>
      </x:c>
    </x:row>
    <x:row r="247">
      <x:c r="A247" s="40" t="n">
        <x:v>243</x:v>
      </x:c>
      <x:c r="B247" s="40" t="n">
        <x:v>15</x:v>
      </x:c>
      <x:c r="C247" s="40" t="n">
        <x:v>5</x:v>
      </x:c>
      <x:c r="D247" s="36" t="str">
        <x:v>esquerda → direita</x:v>
      </x:c>
      <x:c r="E247" s="41" t="n">
        <x:v>0.19999999999999996</x:v>
      </x:c>
      <x:c r="F247" s="41" t="n">
        <x:v>1.5</x:v>
      </x:c>
      <x:c r="G247" s="134" t="n">
        <x:v>33.2362</x:v>
      </x:c>
    </x:row>
    <x:row r="248">
      <x:c r="A248" s="40" t="n">
        <x:v>244</x:v>
      </x:c>
      <x:c r="B248" s="40" t="n">
        <x:v>15</x:v>
      </x:c>
      <x:c r="C248" s="40" t="n">
        <x:v>6</x:v>
      </x:c>
      <x:c r="D248" s="36" t="str">
        <x:v>esquerda → direita</x:v>
      </x:c>
      <x:c r="E248" s="41" t="n">
        <x:v>0.44999999999999996</x:v>
      </x:c>
      <x:c r="F248" s="41" t="n">
        <x:v>1.5</x:v>
      </x:c>
      <x:c r="G248" s="134" t="n">
        <x:v>28.9816</x:v>
      </x:c>
    </x:row>
    <x:row r="249">
      <x:c r="A249" s="40" t="n">
        <x:v>245</x:v>
      </x:c>
      <x:c r="B249" s="40" t="n">
        <x:v>15</x:v>
      </x:c>
      <x:c r="C249" s="40" t="n">
        <x:v>7</x:v>
      </x:c>
      <x:c r="D249" s="36" t="str">
        <x:v>esquerda → direita</x:v>
      </x:c>
      <x:c r="E249" s="41" t="n">
        <x:v>0.7</x:v>
      </x:c>
      <x:c r="F249" s="41" t="n">
        <x:v>1.5</x:v>
      </x:c>
      <x:c r="G249" s="134" t="n">
        <x:v>28.6717</x:v>
      </x:c>
    </x:row>
    <x:row r="250">
      <x:c r="A250" s="40" t="n">
        <x:v>246</x:v>
      </x:c>
      <x:c r="B250" s="40" t="n">
        <x:v>15</x:v>
      </x:c>
      <x:c r="C250" s="40" t="n">
        <x:v>8</x:v>
      </x:c>
      <x:c r="D250" s="36" t="str">
        <x:v>esquerda → direita</x:v>
      </x:c>
      <x:c r="E250" s="41" t="n">
        <x:v>0.95</x:v>
      </x:c>
      <x:c r="F250" s="41" t="n">
        <x:v>1.5</x:v>
      </x:c>
      <x:c r="G250" s="134" t="n">
        <x:v>32.2997</x:v>
      </x:c>
    </x:row>
    <x:row r="251">
      <x:c r="A251" s="40" t="n">
        <x:v>247</x:v>
      </x:c>
      <x:c r="B251" s="40" t="n">
        <x:v>15</x:v>
      </x:c>
      <x:c r="C251" s="40" t="n">
        <x:v>9</x:v>
      </x:c>
      <x:c r="D251" s="36" t="str">
        <x:v>esquerda → direita</x:v>
      </x:c>
      <x:c r="E251" s="41" t="n">
        <x:v>1.2</x:v>
      </x:c>
      <x:c r="F251" s="41" t="n">
        <x:v>1.5</x:v>
      </x:c>
      <x:c r="G251" s="134" t="n">
        <x:v>30.5764</x:v>
      </x:c>
    </x:row>
    <x:row r="252">
      <x:c r="A252" s="40" t="n">
        <x:v>248</x:v>
      </x:c>
      <x:c r="B252" s="40" t="n">
        <x:v>15</x:v>
      </x:c>
      <x:c r="C252" s="40" t="n">
        <x:v>10</x:v>
      </x:c>
      <x:c r="D252" s="36" t="str">
        <x:v>esquerda → direita</x:v>
      </x:c>
      <x:c r="E252" s="41" t="n">
        <x:v>1.45</x:v>
      </x:c>
      <x:c r="F252" s="41" t="n">
        <x:v>1.5</x:v>
      </x:c>
      <x:c r="G252" s="134" t="n">
        <x:v>27.9771</x:v>
      </x:c>
    </x:row>
    <x:row r="253">
      <x:c r="A253" s="40" t="n">
        <x:v>249</x:v>
      </x:c>
      <x:c r="B253" s="40" t="n">
        <x:v>15</x:v>
      </x:c>
      <x:c r="C253" s="40" t="n">
        <x:v>11</x:v>
      </x:c>
      <x:c r="D253" s="36" t="str">
        <x:v>esquerda → direita</x:v>
      </x:c>
      <x:c r="E253" s="41" t="n">
        <x:v>1.7</x:v>
      </x:c>
      <x:c r="F253" s="41" t="n">
        <x:v>1.5</x:v>
      </x:c>
      <x:c r="G253" s="134" t="n">
        <x:v>30.6883</x:v>
      </x:c>
    </x:row>
    <x:row r="254">
      <x:c r="A254" s="40" t="n">
        <x:v>250</x:v>
      </x:c>
      <x:c r="B254" s="40" t="n">
        <x:v>15</x:v>
      </x:c>
      <x:c r="C254" s="40" t="n">
        <x:v>12</x:v>
      </x:c>
      <x:c r="D254" s="36" t="str">
        <x:v>esquerda → direita</x:v>
      </x:c>
      <x:c r="E254" s="41" t="n">
        <x:v>1.95</x:v>
      </x:c>
      <x:c r="F254" s="41" t="n">
        <x:v>1.5</x:v>
      </x:c>
      <x:c r="G254" s="134" t="n">
        <x:v>32.0118</x:v>
      </x:c>
    </x:row>
    <x:row r="255">
      <x:c r="A255" s="40" t="n">
        <x:v>251</x:v>
      </x:c>
      <x:c r="B255" s="40" t="n">
        <x:v>15</x:v>
      </x:c>
      <x:c r="C255" s="40" t="n">
        <x:v>13</x:v>
      </x:c>
      <x:c r="D255" s="36" t="str">
        <x:v>esquerda → direita</x:v>
      </x:c>
      <x:c r="E255" s="41" t="n">
        <x:v>2.2</x:v>
      </x:c>
      <x:c r="F255" s="41" t="n">
        <x:v>1.5</x:v>
      </x:c>
      <x:c r="G255" s="134" t="n">
        <x:v>33.6579</x:v>
      </x:c>
    </x:row>
    <x:row r="256">
      <x:c r="A256" s="40" t="n">
        <x:v>252</x:v>
      </x:c>
      <x:c r="B256" s="40" t="n">
        <x:v>15</x:v>
      </x:c>
      <x:c r="C256" s="40" t="n">
        <x:v>14</x:v>
      </x:c>
      <x:c r="D256" s="36" t="str">
        <x:v>esquerda → direita</x:v>
      </x:c>
      <x:c r="E256" s="41" t="n">
        <x:v>2.45</x:v>
      </x:c>
      <x:c r="F256" s="41" t="n">
        <x:v>1.5</x:v>
      </x:c>
      <x:c r="G256" s="134" t="n">
        <x:v>31.8481</x:v>
      </x:c>
    </x:row>
    <x:row r="257">
      <x:c r="A257" s="40" t="n">
        <x:v>253</x:v>
      </x:c>
      <x:c r="B257" s="40" t="n">
        <x:v>15</x:v>
      </x:c>
      <x:c r="C257" s="40" t="n">
        <x:v>15</x:v>
      </x:c>
      <x:c r="D257" s="36" t="str">
        <x:v>esquerda → direita</x:v>
      </x:c>
      <x:c r="E257" s="41" t="n">
        <x:v>2.7</x:v>
      </x:c>
      <x:c r="F257" s="41" t="n">
        <x:v>1.5</x:v>
      </x:c>
      <x:c r="G257" s="134" t="n">
        <x:v>31.9762</x:v>
      </x:c>
    </x:row>
    <x:row r="258">
      <x:c r="A258" s="40" t="n">
        <x:v>254</x:v>
      </x:c>
      <x:c r="B258" s="40" t="n">
        <x:v>15</x:v>
      </x:c>
      <x:c r="C258" s="40" t="n">
        <x:v>16</x:v>
      </x:c>
      <x:c r="D258" s="36" t="str">
        <x:v>esquerda → direita</x:v>
      </x:c>
      <x:c r="E258" s="41" t="n">
        <x:v>2.95</x:v>
      </x:c>
      <x:c r="F258" s="41" t="n">
        <x:v>1.5</x:v>
      </x:c>
      <x:c r="G258" s="134" t="n">
        <x:v>33.0921</x:v>
      </x:c>
    </x:row>
    <x:row r="259">
      <x:c r="A259" s="40" t="n">
        <x:v>255</x:v>
      </x:c>
      <x:c r="B259" s="40" t="n">
        <x:v>15</x:v>
      </x:c>
      <x:c r="C259" s="40" t="n">
        <x:v>17</x:v>
      </x:c>
      <x:c r="D259" s="36" t="str">
        <x:v>esquerda → direita</x:v>
      </x:c>
      <x:c r="E259" s="41" t="n">
        <x:v>3.2</x:v>
      </x:c>
      <x:c r="F259" s="41" t="n">
        <x:v>1.5</x:v>
      </x:c>
      <x:c r="G259" s="134" t="n">
        <x:v>33.9597</x:v>
      </x:c>
    </x:row>
    <x:row r="260">
      <x:c r="A260" s="40" t="n">
        <x:v>256</x:v>
      </x:c>
      <x:c r="B260" s="40" t="n">
        <x:v>16</x:v>
      </x:c>
      <x:c r="C260" s="40" t="n">
        <x:v>1</x:v>
      </x:c>
      <x:c r="D260" s="36" t="str">
        <x:v>direita → esquerda</x:v>
      </x:c>
      <x:c r="E260" s="41" t="n">
        <x:v>3.2</x:v>
      </x:c>
      <x:c r="F260" s="41" t="n">
        <x:v>1.75</x:v>
      </x:c>
      <x:c r="G260" s="134" t="n">
        <x:v>31.2668</x:v>
      </x:c>
    </x:row>
    <x:row r="261">
      <x:c r="A261" s="40" t="n">
        <x:v>257</x:v>
      </x:c>
      <x:c r="B261" s="40" t="n">
        <x:v>16</x:v>
      </x:c>
      <x:c r="C261" s="40" t="n">
        <x:v>2</x:v>
      </x:c>
      <x:c r="D261" s="36" t="str">
        <x:v>direita → esquerda</x:v>
      </x:c>
      <x:c r="E261" s="41" t="n">
        <x:v>2.95</x:v>
      </x:c>
      <x:c r="F261" s="41" t="n">
        <x:v>1.75</x:v>
      </x:c>
      <x:c r="G261" s="134" t="n">
        <x:v>35.4934</x:v>
      </x:c>
    </x:row>
    <x:row r="262">
      <x:c r="A262" s="40" t="n">
        <x:v>258</x:v>
      </x:c>
      <x:c r="B262" s="40" t="n">
        <x:v>16</x:v>
      </x:c>
      <x:c r="C262" s="40" t="n">
        <x:v>3</x:v>
      </x:c>
      <x:c r="D262" s="36" t="str">
        <x:v>direita → esquerda</x:v>
      </x:c>
      <x:c r="E262" s="41" t="n">
        <x:v>2.7</x:v>
      </x:c>
      <x:c r="F262" s="41" t="n">
        <x:v>1.75</x:v>
      </x:c>
      <x:c r="G262" s="134" t="n">
        <x:v>38.1481</x:v>
      </x:c>
    </x:row>
    <x:row r="263">
      <x:c r="A263" s="40" t="n">
        <x:v>259</x:v>
      </x:c>
      <x:c r="B263" s="40" t="n">
        <x:v>16</x:v>
      </x:c>
      <x:c r="C263" s="40" t="n">
        <x:v>4</x:v>
      </x:c>
      <x:c r="D263" s="36" t="str">
        <x:v>direita → esquerda</x:v>
      </x:c>
      <x:c r="E263" s="41" t="n">
        <x:v>2.45</x:v>
      </x:c>
      <x:c r="F263" s="41" t="n">
        <x:v>1.75</x:v>
      </x:c>
      <x:c r="G263" s="134" t="n">
        <x:v>34.5845</x:v>
      </x:c>
    </x:row>
    <x:row r="264">
      <x:c r="A264" s="40" t="n">
        <x:v>260</x:v>
      </x:c>
      <x:c r="B264" s="40" t="n">
        <x:v>16</x:v>
      </x:c>
      <x:c r="C264" s="40" t="n">
        <x:v>5</x:v>
      </x:c>
      <x:c r="D264" s="36" t="str">
        <x:v>direita → esquerda</x:v>
      </x:c>
      <x:c r="E264" s="41" t="n">
        <x:v>2.2</x:v>
      </x:c>
      <x:c r="F264" s="41" t="n">
        <x:v>1.75</x:v>
      </x:c>
      <x:c r="G264" s="134" t="n">
        <x:v>29.1527</x:v>
      </x:c>
    </x:row>
    <x:row r="265">
      <x:c r="A265" s="40" t="n">
        <x:v>261</x:v>
      </x:c>
      <x:c r="B265" s="40" t="n">
        <x:v>16</x:v>
      </x:c>
      <x:c r="C265" s="40" t="n">
        <x:v>6</x:v>
      </x:c>
      <x:c r="D265" s="36" t="str">
        <x:v>direita → esquerda</x:v>
      </x:c>
      <x:c r="E265" s="41" t="n">
        <x:v>1.95</x:v>
      </x:c>
      <x:c r="F265" s="41" t="n">
        <x:v>1.75</x:v>
      </x:c>
      <x:c r="G265" s="134" t="n">
        <x:v>32.2772</x:v>
      </x:c>
    </x:row>
    <x:row r="266">
      <x:c r="A266" s="40" t="n">
        <x:v>262</x:v>
      </x:c>
      <x:c r="B266" s="40" t="n">
        <x:v>16</x:v>
      </x:c>
      <x:c r="C266" s="40" t="n">
        <x:v>7</x:v>
      </x:c>
      <x:c r="D266" s="36" t="str">
        <x:v>direita → esquerda</x:v>
      </x:c>
      <x:c r="E266" s="41" t="n">
        <x:v>1.7</x:v>
      </x:c>
      <x:c r="F266" s="41" t="n">
        <x:v>1.75</x:v>
      </x:c>
      <x:c r="G266" s="134" t="n">
        <x:v>27.9596</x:v>
      </x:c>
    </x:row>
    <x:row r="267">
      <x:c r="A267" s="40" t="n">
        <x:v>263</x:v>
      </x:c>
      <x:c r="B267" s="40" t="n">
        <x:v>16</x:v>
      </x:c>
      <x:c r="C267" s="40" t="n">
        <x:v>8</x:v>
      </x:c>
      <x:c r="D267" s="36" t="str">
        <x:v>direita → esquerda</x:v>
      </x:c>
      <x:c r="E267" s="41" t="n">
        <x:v>1.45</x:v>
      </x:c>
      <x:c r="F267" s="41" t="n">
        <x:v>1.75</x:v>
      </x:c>
      <x:c r="G267" s="134" t="n">
        <x:v>27.6891</x:v>
      </x:c>
    </x:row>
    <x:row r="268">
      <x:c r="A268" s="40" t="n">
        <x:v>264</x:v>
      </x:c>
      <x:c r="B268" s="40" t="n">
        <x:v>16</x:v>
      </x:c>
      <x:c r="C268" s="40" t="n">
        <x:v>9</x:v>
      </x:c>
      <x:c r="D268" s="36" t="str">
        <x:v>direita → esquerda</x:v>
      </x:c>
      <x:c r="E268" s="41" t="n">
        <x:v>1.2</x:v>
      </x:c>
      <x:c r="F268" s="41" t="n">
        <x:v>1.75</x:v>
      </x:c>
      <x:c r="G268" s="134" t="n">
        <x:v>33.0655</x:v>
      </x:c>
    </x:row>
    <x:row r="269">
      <x:c r="A269" s="40" t="n">
        <x:v>265</x:v>
      </x:c>
      <x:c r="B269" s="40" t="n">
        <x:v>16</x:v>
      </x:c>
      <x:c r="C269" s="40" t="n">
        <x:v>10</x:v>
      </x:c>
      <x:c r="D269" s="36" t="str">
        <x:v>direita → esquerda</x:v>
      </x:c>
      <x:c r="E269" s="41" t="n">
        <x:v>0.95</x:v>
      </x:c>
      <x:c r="F269" s="41" t="n">
        <x:v>1.75</x:v>
      </x:c>
      <x:c r="G269" s="134" t="n">
        <x:v>31.847</x:v>
      </x:c>
    </x:row>
    <x:row r="270">
      <x:c r="A270" s="40" t="n">
        <x:v>266</x:v>
      </x:c>
      <x:c r="B270" s="40" t="n">
        <x:v>16</x:v>
      </x:c>
      <x:c r="C270" s="40" t="n">
        <x:v>11</x:v>
      </x:c>
      <x:c r="D270" s="36" t="str">
        <x:v>direita → esquerda</x:v>
      </x:c>
      <x:c r="E270" s="41" t="n">
        <x:v>0.7</x:v>
      </x:c>
      <x:c r="F270" s="41" t="n">
        <x:v>1.75</x:v>
      </x:c>
      <x:c r="G270" s="134" t="n">
        <x:v>30.3171</x:v>
      </x:c>
    </x:row>
    <x:row r="271">
      <x:c r="A271" s="40" t="n">
        <x:v>267</x:v>
      </x:c>
      <x:c r="B271" s="40" t="n">
        <x:v>16</x:v>
      </x:c>
      <x:c r="C271" s="40" t="n">
        <x:v>12</x:v>
      </x:c>
      <x:c r="D271" s="36" t="str">
        <x:v>direita → esquerda</x:v>
      </x:c>
      <x:c r="E271" s="41" t="n">
        <x:v>0.44999999999999996</x:v>
      </x:c>
      <x:c r="F271" s="41" t="n">
        <x:v>1.75</x:v>
      </x:c>
      <x:c r="G271" s="134" t="n">
        <x:v>27.4485</x:v>
      </x:c>
    </x:row>
    <x:row r="272">
      <x:c r="A272" s="40" t="n">
        <x:v>268</x:v>
      </x:c>
      <x:c r="B272" s="40" t="n">
        <x:v>16</x:v>
      </x:c>
      <x:c r="C272" s="40" t="n">
        <x:v>13</x:v>
      </x:c>
      <x:c r="D272" s="36" t="str">
        <x:v>direita → esquerda</x:v>
      </x:c>
      <x:c r="E272" s="41" t="n">
        <x:v>0.19999999999999996</x:v>
      </x:c>
      <x:c r="F272" s="41" t="n">
        <x:v>1.75</x:v>
      </x:c>
      <x:c r="G272" s="134" t="n">
        <x:v>29.5384</x:v>
      </x:c>
    </x:row>
    <x:row r="273">
      <x:c r="A273" s="40" t="n">
        <x:v>269</x:v>
      </x:c>
      <x:c r="B273" s="40" t="n">
        <x:v>16</x:v>
      </x:c>
      <x:c r="C273" s="40" t="n">
        <x:v>14</x:v>
      </x:c>
      <x:c r="D273" s="36" t="str">
        <x:v>direita → esquerda</x:v>
      </x:c>
      <x:c r="E273" s="41" t="n">
        <x:v>-0.050000000000000044</x:v>
      </x:c>
      <x:c r="F273" s="41" t="n">
        <x:v>1.75</x:v>
      </x:c>
      <x:c r="G273" s="134" t="n">
        <x:v>33.0975</x:v>
      </x:c>
    </x:row>
    <x:row r="274">
      <x:c r="A274" s="40" t="n">
        <x:v>270</x:v>
      </x:c>
      <x:c r="B274" s="40" t="n">
        <x:v>16</x:v>
      </x:c>
      <x:c r="C274" s="40" t="n">
        <x:v>15</x:v>
      </x:c>
      <x:c r="D274" s="36" t="str">
        <x:v>direita → esquerda</x:v>
      </x:c>
      <x:c r="E274" s="41" t="n">
        <x:v>-0.30000000000000004</x:v>
      </x:c>
      <x:c r="F274" s="41" t="n">
        <x:v>1.75</x:v>
      </x:c>
      <x:c r="G274" s="134" t="n">
        <x:v>33.2039</x:v>
      </x:c>
    </x:row>
    <x:row r="275">
      <x:c r="A275" s="40" t="n">
        <x:v>271</x:v>
      </x:c>
      <x:c r="B275" s="40" t="n">
        <x:v>16</x:v>
      </x:c>
      <x:c r="C275" s="40" t="n">
        <x:v>16</x:v>
      </x:c>
      <x:c r="D275" s="36" t="str">
        <x:v>direita → esquerda</x:v>
      </x:c>
      <x:c r="E275" s="41" t="n">
        <x:v>-0.55</x:v>
      </x:c>
      <x:c r="F275" s="41" t="n">
        <x:v>1.75</x:v>
      </x:c>
      <x:c r="G275" s="134" t="n">
        <x:v>35.1372</x:v>
      </x:c>
    </x:row>
    <x:row r="276">
      <x:c r="A276" s="40" t="n">
        <x:v>272</x:v>
      </x:c>
      <x:c r="B276" s="40" t="n">
        <x:v>16</x:v>
      </x:c>
      <x:c r="C276" s="40" t="n">
        <x:v>17</x:v>
      </x:c>
      <x:c r="D276" s="36" t="str">
        <x:v>direita → esquerda</x:v>
      </x:c>
      <x:c r="E276" s="41" t="n">
        <x:v>-0.8</x:v>
      </x:c>
      <x:c r="F276" s="41" t="n">
        <x:v>1.75</x:v>
      </x:c>
      <x:c r="G276" s="134" t="n">
        <x:v>37.5147</x:v>
      </x:c>
    </x:row>
    <x:row r="277">
      <x:c r="A277" s="40" t="n">
        <x:v>273</x:v>
      </x:c>
      <x:c r="B277" s="40" t="n">
        <x:v>17</x:v>
      </x:c>
      <x:c r="C277" s="40" t="n">
        <x:v>1</x:v>
      </x:c>
      <x:c r="D277" s="36" t="str">
        <x:v>esquerda → direita</x:v>
      </x:c>
      <x:c r="E277" s="41" t="n">
        <x:v>-0.8</x:v>
      </x:c>
      <x:c r="F277" s="41" t="n">
        <x:v>2</x:v>
      </x:c>
      <x:c r="G277" s="134" t="n">
        <x:v>33.5683</x:v>
      </x:c>
    </x:row>
    <x:row r="278">
      <x:c r="A278" s="40" t="n">
        <x:v>274</x:v>
      </x:c>
      <x:c r="B278" s="40" t="n">
        <x:v>17</x:v>
      </x:c>
      <x:c r="C278" s="40" t="n">
        <x:v>2</x:v>
      </x:c>
      <x:c r="D278" s="36" t="str">
        <x:v>esquerda → direita</x:v>
      </x:c>
      <x:c r="E278" s="41" t="n">
        <x:v>-0.55</x:v>
      </x:c>
      <x:c r="F278" s="41" t="n">
        <x:v>2</x:v>
      </x:c>
      <x:c r="G278" s="134" t="n">
        <x:v>35.1605</x:v>
      </x:c>
    </x:row>
    <x:row r="279">
      <x:c r="A279" s="40" t="n">
        <x:v>275</x:v>
      </x:c>
      <x:c r="B279" s="40" t="n">
        <x:v>17</x:v>
      </x:c>
      <x:c r="C279" s="40" t="n">
        <x:v>3</x:v>
      </x:c>
      <x:c r="D279" s="36" t="str">
        <x:v>esquerda → direita</x:v>
      </x:c>
      <x:c r="E279" s="41" t="n">
        <x:v>-0.30000000000000004</x:v>
      </x:c>
      <x:c r="F279" s="41" t="n">
        <x:v>2</x:v>
      </x:c>
      <x:c r="G279" s="134" t="n">
        <x:v>33.4387</x:v>
      </x:c>
    </x:row>
    <x:row r="280">
      <x:c r="A280" s="40" t="n">
        <x:v>276</x:v>
      </x:c>
      <x:c r="B280" s="40" t="n">
        <x:v>17</x:v>
      </x:c>
      <x:c r="C280" s="40" t="n">
        <x:v>4</x:v>
      </x:c>
      <x:c r="D280" s="36" t="str">
        <x:v>esquerda → direita</x:v>
      </x:c>
      <x:c r="E280" s="41" t="n">
        <x:v>-0.050000000000000044</x:v>
      </x:c>
      <x:c r="F280" s="41" t="n">
        <x:v>2</x:v>
      </x:c>
      <x:c r="G280" s="134" t="n">
        <x:v>32.3289</x:v>
      </x:c>
    </x:row>
    <x:row r="281">
      <x:c r="A281" s="40" t="n">
        <x:v>277</x:v>
      </x:c>
      <x:c r="B281" s="40" t="n">
        <x:v>17</x:v>
      </x:c>
      <x:c r="C281" s="40" t="n">
        <x:v>5</x:v>
      </x:c>
      <x:c r="D281" s="36" t="str">
        <x:v>esquerda → direita</x:v>
      </x:c>
      <x:c r="E281" s="41" t="n">
        <x:v>0.19999999999999996</x:v>
      </x:c>
      <x:c r="F281" s="41" t="n">
        <x:v>2</x:v>
      </x:c>
      <x:c r="G281" s="134" t="n">
        <x:v>32.654</x:v>
      </x:c>
    </x:row>
    <x:row r="282">
      <x:c r="A282" s="40" t="n">
        <x:v>278</x:v>
      </x:c>
      <x:c r="B282" s="40" t="n">
        <x:v>17</x:v>
      </x:c>
      <x:c r="C282" s="40" t="n">
        <x:v>6</x:v>
      </x:c>
      <x:c r="D282" s="36" t="str">
        <x:v>esquerda → direita</x:v>
      </x:c>
      <x:c r="E282" s="41" t="n">
        <x:v>0.44999999999999996</x:v>
      </x:c>
      <x:c r="F282" s="41" t="n">
        <x:v>2</x:v>
      </x:c>
      <x:c r="G282" s="134" t="n">
        <x:v>35.173</x:v>
      </x:c>
    </x:row>
    <x:row r="283">
      <x:c r="A283" s="40" t="n">
        <x:v>279</x:v>
      </x:c>
      <x:c r="B283" s="40" t="n">
        <x:v>17</x:v>
      </x:c>
      <x:c r="C283" s="40" t="n">
        <x:v>7</x:v>
      </x:c>
      <x:c r="D283" s="36" t="str">
        <x:v>esquerda → direita</x:v>
      </x:c>
      <x:c r="E283" s="41" t="n">
        <x:v>0.7</x:v>
      </x:c>
      <x:c r="F283" s="41" t="n">
        <x:v>2</x:v>
      </x:c>
      <x:c r="G283" s="134" t="n">
        <x:v>30.5268</x:v>
      </x:c>
    </x:row>
    <x:row r="284">
      <x:c r="A284" s="40" t="n">
        <x:v>280</x:v>
      </x:c>
      <x:c r="B284" s="40" t="n">
        <x:v>17</x:v>
      </x:c>
      <x:c r="C284" s="40" t="n">
        <x:v>8</x:v>
      </x:c>
      <x:c r="D284" s="36" t="str">
        <x:v>esquerda → direita</x:v>
      </x:c>
      <x:c r="E284" s="41" t="n">
        <x:v>0.95</x:v>
      </x:c>
      <x:c r="F284" s="41" t="n">
        <x:v>2</x:v>
      </x:c>
      <x:c r="G284" s="134" t="n">
        <x:v>35.3136</x:v>
      </x:c>
    </x:row>
    <x:row r="285">
      <x:c r="A285" s="40" t="n">
        <x:v>281</x:v>
      </x:c>
      <x:c r="B285" s="40" t="n">
        <x:v>17</x:v>
      </x:c>
      <x:c r="C285" s="40" t="n">
        <x:v>9</x:v>
      </x:c>
      <x:c r="D285" s="36" t="str">
        <x:v>esquerda → direita</x:v>
      </x:c>
      <x:c r="E285" s="41" t="n">
        <x:v>1.2</x:v>
      </x:c>
      <x:c r="F285" s="41" t="n">
        <x:v>2</x:v>
      </x:c>
      <x:c r="G285" s="134" t="n">
        <x:v>36.0496</x:v>
      </x:c>
    </x:row>
    <x:row r="286">
      <x:c r="A286" s="40" t="n">
        <x:v>282</x:v>
      </x:c>
      <x:c r="B286" s="40" t="n">
        <x:v>17</x:v>
      </x:c>
      <x:c r="C286" s="40" t="n">
        <x:v>10</x:v>
      </x:c>
      <x:c r="D286" s="36" t="str">
        <x:v>esquerda → direita</x:v>
      </x:c>
      <x:c r="E286" s="41" t="n">
        <x:v>1.45</x:v>
      </x:c>
      <x:c r="F286" s="41" t="n">
        <x:v>2</x:v>
      </x:c>
      <x:c r="G286" s="134" t="n">
        <x:v>32.8805</x:v>
      </x:c>
    </x:row>
    <x:row r="287">
      <x:c r="A287" s="40" t="n">
        <x:v>283</x:v>
      </x:c>
      <x:c r="B287" s="40" t="n">
        <x:v>17</x:v>
      </x:c>
      <x:c r="C287" s="40" t="n">
        <x:v>11</x:v>
      </x:c>
      <x:c r="D287" s="36" t="str">
        <x:v>esquerda → direita</x:v>
      </x:c>
      <x:c r="E287" s="41" t="n">
        <x:v>1.7</x:v>
      </x:c>
      <x:c r="F287" s="41" t="n">
        <x:v>2</x:v>
      </x:c>
      <x:c r="G287" s="134" t="n">
        <x:v>33.5099</x:v>
      </x:c>
    </x:row>
    <x:row r="288">
      <x:c r="A288" s="40" t="n">
        <x:v>284</x:v>
      </x:c>
      <x:c r="B288" s="40" t="n">
        <x:v>17</x:v>
      </x:c>
      <x:c r="C288" s="40" t="n">
        <x:v>12</x:v>
      </x:c>
      <x:c r="D288" s="36" t="str">
        <x:v>esquerda → direita</x:v>
      </x:c>
      <x:c r="E288" s="41" t="n">
        <x:v>1.95</x:v>
      </x:c>
      <x:c r="F288" s="41" t="n">
        <x:v>2</x:v>
      </x:c>
      <x:c r="G288" s="134" t="n">
        <x:v>29.944</x:v>
      </x:c>
    </x:row>
    <x:row r="289">
      <x:c r="A289" s="40" t="n">
        <x:v>285</x:v>
      </x:c>
      <x:c r="B289" s="40" t="n">
        <x:v>17</x:v>
      </x:c>
      <x:c r="C289" s="40" t="n">
        <x:v>13</x:v>
      </x:c>
      <x:c r="D289" s="36" t="str">
        <x:v>esquerda → direita</x:v>
      </x:c>
      <x:c r="E289" s="41" t="n">
        <x:v>2.2</x:v>
      </x:c>
      <x:c r="F289" s="41" t="n">
        <x:v>2</x:v>
      </x:c>
      <x:c r="G289" s="134" t="n">
        <x:v>38.7815</x:v>
      </x:c>
    </x:row>
    <x:row r="290">
      <x:c r="A290" s="40" t="n">
        <x:v>286</x:v>
      </x:c>
      <x:c r="B290" s="40" t="n">
        <x:v>17</x:v>
      </x:c>
      <x:c r="C290" s="40" t="n">
        <x:v>14</x:v>
      </x:c>
      <x:c r="D290" s="36" t="str">
        <x:v>esquerda → direita</x:v>
      </x:c>
      <x:c r="E290" s="41" t="n">
        <x:v>2.45</x:v>
      </x:c>
      <x:c r="F290" s="41" t="n">
        <x:v>2</x:v>
      </x:c>
      <x:c r="G290" s="134" t="n">
        <x:v>35.9564</x:v>
      </x:c>
    </x:row>
    <x:row r="291">
      <x:c r="A291" s="40" t="n">
        <x:v>287</x:v>
      </x:c>
      <x:c r="B291" s="40" t="n">
        <x:v>17</x:v>
      </x:c>
      <x:c r="C291" s="40" t="n">
        <x:v>15</x:v>
      </x:c>
      <x:c r="D291" s="36" t="str">
        <x:v>esquerda → direita</x:v>
      </x:c>
      <x:c r="E291" s="41" t="n">
        <x:v>2.7</x:v>
      </x:c>
      <x:c r="F291" s="41" t="n">
        <x:v>2</x:v>
      </x:c>
      <x:c r="G291" s="134" t="n">
        <x:v>34.4418</x:v>
      </x:c>
    </x:row>
    <x:row r="292">
      <x:c r="A292" s="40" t="n">
        <x:v>288</x:v>
      </x:c>
      <x:c r="B292" s="40" t="n">
        <x:v>17</x:v>
      </x:c>
      <x:c r="C292" s="40" t="n">
        <x:v>16</x:v>
      </x:c>
      <x:c r="D292" s="36" t="str">
        <x:v>esquerda → direita</x:v>
      </x:c>
      <x:c r="E292" s="41" t="n">
        <x:v>2.95</x:v>
      </x:c>
      <x:c r="F292" s="41" t="n">
        <x:v>2</x:v>
      </x:c>
      <x:c r="G292" s="134" t="n">
        <x:v>34.528</x:v>
      </x:c>
    </x:row>
    <x:row r="293">
      <x:c r="A293" s="40" t="n">
        <x:v>289</x:v>
      </x:c>
      <x:c r="B293" s="40" t="n">
        <x:v>17</x:v>
      </x:c>
      <x:c r="C293" s="40" t="n">
        <x:v>17</x:v>
      </x:c>
      <x:c r="D293" s="36" t="str">
        <x:v>esquerda → direita</x:v>
      </x:c>
      <x:c r="E293" s="41" t="n">
        <x:v>3.2</x:v>
      </x:c>
      <x:c r="F293" s="41" t="n">
        <x:v>2</x:v>
      </x:c>
      <x:c r="G293" s="134" t="n">
        <x:v>35.8141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FFC000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1" hidden="0" customWidth="1"/>
  </x:cols>
  <x:sheetData>
    <x:row r="1" ht="32" customHeight="1">
      <x:c r="A1" s="138" t="str">
        <x:v>VALIDAÇÃO EXPERIMENTAL FINAL — MTR-1522 — TRÊS PROFUNDIDADES</x:v>
      </x:c>
      <x:c r="B1" s="138"/>
      <x:c r="C1" s="138"/>
      <x:c r="D1" s="138"/>
      <x:c r="E1" s="138"/>
      <x:c r="F1" s="138"/>
      <x:c r="G1" s="138"/>
      <x:c r="H1" s="138"/>
    </x:row>
    <x:row r="2">
      <x:c r="A2" s="174" t="str">
        <x:v>Haste horizontal 2,40 m × 12 mm; malha 17 × 17; probe inserido 30 mm; 289 leituras por profundidade; percurso serpentina.</x:v>
      </x:c>
      <x:c r="B2" s="174"/>
      <x:c r="C2" s="174"/>
      <x:c r="D2" s="174"/>
      <x:c r="E2" s="174"/>
      <x:c r="F2" s="174"/>
      <x:c r="G2" s="174"/>
      <x:c r="H2" s="174"/>
    </x:row>
    <x:row r="3">
      <x:c r="A3" s="175"/>
      <x:c r="B3" s="175"/>
      <x:c r="C3" s="175"/>
      <x:c r="D3" s="175"/>
      <x:c r="E3" s="175"/>
      <x:c r="F3" s="175"/>
      <x:c r="G3" s="175"/>
      <x:c r="H3" s="175"/>
    </x:row>
    <x:row r="4">
      <x:c r="A4" s="171" t="str">
        <x:v>VERIFICAÇÃO DA REFERÊNCIA — d = 0,40 m</x:v>
      </x:c>
      <x:c r="B4" s="171" t="str"/>
      <x:c r="C4" s="171" t="str"/>
      <x:c r="D4" s="171" t="str"/>
      <x:c r="E4" s="171" t="str"/>
      <x:c r="F4" s="171" t="str"/>
      <x:c r="G4" s="171" t="str"/>
      <x:c r="H4" s="171" t="str"/>
    </x:row>
    <x:row r="5">
      <x:c r="A5" s="147" t="str">
        <x:v>Posição</x:v>
      </x:c>
      <x:c r="B5" s="147" t="str">
        <x:v>52%</x:v>
      </x:c>
      <x:c r="C5" s="147" t="str">
        <x:v>62%</x:v>
      </x:c>
      <x:c r="D5" s="147" t="str">
        <x:v>72%</x:v>
      </x:c>
      <x:c r="E5" s="147" t="str">
        <x:v>Amplitude</x:v>
      </x:c>
      <x:c r="F5" s="147" t="str">
        <x:v>Amplitude / R62</x:v>
      </x:c>
      <x:c r="G5" s="147" t="str">
        <x:v>Desvio vs. R62</x:v>
      </x:c>
      <x:c r="H5" s="147" t="str">
        <x:v>Uso na análise</x:v>
      </x:c>
    </x:row>
    <x:row r="6">
      <x:c r="A6" s="151" t="str">
        <x:v>R (Ω)</x:v>
      </x:c>
      <x:c r="B6" s="152" t="n">
        <x:v>39.4</x:v>
      </x:c>
      <x:c r="C6" s="152" t="n">
        <x:v>40.1</x:v>
      </x:c>
      <x:c r="D6" s="152" t="n">
        <x:v>41.3</x:v>
      </x:c>
      <x:c r="E6" s="152" t="n">
        <x:v>1.9</x:v>
      </x:c>
      <x:c r="F6" s="172" t="n">
        <x:v>0.04738154613466334</x:v>
      </x:c>
      <x:c r="G6" s="151" t="str">
        <x:v>−0,7 / +1,2 Ω</x:v>
      </x:c>
      <x:c r="H6" s="151" t="str">
        <x:v>62% = referência principal</x:v>
      </x:c>
    </x:row>
    <x:row r="7">
      <x:c r="A7" s="151" t="str">
        <x:v>Distância total</x:v>
      </x:c>
      <x:c r="B7" s="152" t="n">
        <x:v>24</x:v>
      </x:c>
      <x:c r="C7" s="152" t="n">
        <x:v>24</x:v>
      </x:c>
      <x:c r="D7" s="152" t="n">
        <x:v>24</x:v>
      </x:c>
      <x:c r="E7" s="152" t="str"/>
      <x:c r="F7" s="152" t="str"/>
      <x:c r="G7" s="151" t="str"/>
      <x:c r="H7" s="151" t="str">
        <x:v>m entre eletrodo em teste e remoto</x:v>
      </x:c>
    </x:row>
    <x:row r="8">
      <x:c r="A8" s="151" t="str">
        <x:v>Distância da referência (m)</x:v>
      </x:c>
      <x:c r="B8" s="152" t="n">
        <x:v>12.48</x:v>
      </x:c>
      <x:c r="C8" s="152" t="n">
        <x:v>14.88</x:v>
      </x:c>
      <x:c r="D8" s="152" t="n">
        <x:v>17.28</x:v>
      </x:c>
      <x:c r="E8" s="152" t="str"/>
      <x:c r="F8" s="152" t="str"/>
      <x:c r="G8" s="151" t="str"/>
      <x:c r="H8" s="151" t="str">
        <x:v>percentuais informados</x:v>
      </x:c>
    </x:row>
    <x:row r="9">
      <x:c r="A9" s="175"/>
      <x:c r="B9" s="175"/>
      <x:c r="C9" s="175"/>
      <x:c r="D9" s="175"/>
      <x:c r="E9" s="175"/>
      <x:c r="F9" s="175"/>
      <x:c r="G9" s="175"/>
      <x:c r="H9" s="175"/>
    </x:row>
    <x:row r="10">
      <x:c r="A10" s="175"/>
      <x:c r="B10" s="175"/>
      <x:c r="C10" s="175"/>
      <x:c r="D10" s="175"/>
      <x:c r="E10" s="175"/>
      <x:c r="F10" s="175"/>
      <x:c r="G10" s="175"/>
      <x:c r="H10" s="175"/>
    </x:row>
    <x:row r="11">
      <x:c r="A11" s="171" t="str">
        <x:v>COMPARAÇÃO GLOBAL COM O MODELO IDEAL</x:v>
      </x:c>
      <x:c r="B11" s="171" t="str"/>
      <x:c r="C11" s="171" t="str"/>
      <x:c r="D11" s="171" t="str"/>
      <x:c r="E11" s="171" t="str"/>
      <x:c r="F11" s="171" t="str"/>
      <x:c r="G11" s="171" t="str"/>
      <x:c r="H11" s="171" t="str"/>
    </x:row>
    <x:row r="12">
      <x:c r="A12" s="147" t="str">
        <x:v>Profundidade</x:v>
      </x:c>
      <x:c r="B12" s="147" t="str">
        <x:v>MAPE</x:v>
      </x:c>
      <x:c r="C12" s="147" t="str">
        <x:v>MAE (Ω)</x:v>
      </x:c>
      <x:c r="D12" s="147" t="str">
        <x:v>RMSE (Ω)</x:v>
      </x:c>
      <x:c r="E12" s="147" t="str">
        <x:v>Viés (Ω)</x:v>
      </x:c>
      <x:c r="F12" s="147" t="str">
        <x:v>Correlação</x:v>
      </x:c>
      <x:c r="G12" s="147" t="str">
        <x:v>R²</x:v>
      </x:c>
      <x:c r="H12" s="147" t="str">
        <x:v>Centro: medido / ideal (Ω)</x:v>
      </x:c>
    </x:row>
    <x:row r="13">
      <x:c r="A13" s="151" t="str">
        <x:v>0,20 m</x:v>
      </x:c>
      <x:c r="B13" s="172" t="n">
        <x:v>0.0534</x:v>
      </x:c>
      <x:c r="C13" s="152" t="n">
        <x:v>1.6858</x:v>
      </x:c>
      <x:c r="D13" s="152" t="n">
        <x:v>2.1333</x:v>
      </x:c>
      <x:c r="E13" s="152" t="n">
        <x:v>0.3797</x:v>
      </x:c>
      <x:c r="F13" s="152" t="n">
        <x:v>0.95057</x:v>
      </x:c>
      <x:c r="G13" s="152" t="n">
        <x:v>0.88567</x:v>
      </x:c>
      <x:c r="H13" s="151" t="str">
        <x:v>8,4640 / 8,9210</x:v>
      </x:c>
    </x:row>
    <x:row r="14">
      <x:c r="A14" s="156" t="str">
        <x:v>0,30 m</x:v>
      </x:c>
      <x:c r="B14" s="157" t="n">
        <x:v>0.043947167859</x:v>
      </x:c>
      <x:c r="C14" s="158" t="n">
        <x:v>1.3027176</x:v>
      </x:c>
      <x:c r="D14" s="158" t="n">
        <x:v>1.6447256</x:v>
      </x:c>
      <x:c r="E14" s="158" t="n">
        <x:v>0.2923843</x:v>
      </x:c>
      <x:c r="F14" s="158" t="n">
        <x:v>0.9582721</x:v>
      </x:c>
      <x:c r="G14" s="158" t="n">
        <x:v>0.9051212</x:v>
      </x:c>
      <x:c r="H14" s="156" t="str">
        <x:v>11,9000 / 12,4584</x:v>
      </x:c>
    </x:row>
    <x:row r="15">
      <x:c r="A15" s="160" t="str">
        <x:v>0,40 m</x:v>
      </x:c>
      <x:c r="B15" s="173" t="n">
        <x:v>0.058999894868607676</x:v>
      </x:c>
      <x:c r="C15" s="162" t="n">
        <x:v>1.6928120003434126</x:v>
      </x:c>
      <x:c r="D15" s="162" t="n">
        <x:v>2.129021949124801</x:v>
      </x:c>
      <x:c r="E15" s="162" t="n">
        <x:v>0.38500450618727144</x:v>
      </x:c>
      <x:c r="F15" s="162" t="n">
        <x:v>0.9133029206165574</x:v>
      </x:c>
      <x:c r="G15" s="162" t="n">
        <x:v>0.7853343793811314</x:v>
      </x:c>
      <x:c r="H15" s="160" t="str">
        <x:v>14,1479 / 14,9975</x:v>
      </x:c>
    </x:row>
    <x:row r="16">
      <x:c r="A16" s="175"/>
      <x:c r="B16" s="175"/>
      <x:c r="C16" s="175"/>
      <x:c r="D16" s="175"/>
      <x:c r="E16" s="175"/>
      <x:c r="F16" s="175"/>
      <x:c r="G16" s="175"/>
      <x:c r="H16" s="175"/>
    </x:row>
    <x:row r="17">
      <x:c r="A17" s="175"/>
      <x:c r="B17" s="175"/>
      <x:c r="C17" s="175"/>
      <x:c r="D17" s="175"/>
      <x:c r="E17" s="175"/>
      <x:c r="F17" s="175"/>
      <x:c r="G17" s="175"/>
      <x:c r="H17" s="175"/>
    </x:row>
    <x:row r="18">
      <x:c r="A18" s="171" t="str">
        <x:v>SÍNTESE EXPERIMENTAL</x:v>
      </x:c>
      <x:c r="B18" s="171" t="str"/>
      <x:c r="C18" s="171" t="str"/>
      <x:c r="D18" s="171" t="str"/>
      <x:c r="E18" s="171" t="str"/>
      <x:c r="F18" s="171" t="str"/>
      <x:c r="G18" s="171" t="str"/>
      <x:c r="H18" s="171" t="str"/>
    </x:row>
    <x:row r="19">
      <x:c r="A19" s="151" t="str">
        <x:v>Campanhas completas</x:v>
      </x:c>
      <x:c r="B19" s="151" t="n">
        <x:v>3</x:v>
      </x:c>
      <x:c r="C19" s="151" t="str">
        <x:v>profundidades</x:v>
      </x:c>
      <x:c r="D19" s="151" t="str">
        <x:v>0,20; 0,30; 0,40 m</x:v>
      </x:c>
      <x:c r="E19" s="151" t="str"/>
      <x:c r="F19" s="151" t="str"/>
      <x:c r="G19" s="151" t="str"/>
      <x:c r="H19" s="151" t="str"/>
    </x:row>
    <x:row r="20">
      <x:c r="A20" s="151" t="str">
        <x:v>Leituras espaciais</x:v>
      </x:c>
      <x:c r="B20" s="151" t="n">
        <x:v>867</x:v>
      </x:c>
      <x:c r="C20" s="151" t="str">
        <x:v>pontos</x:v>
      </x:c>
      <x:c r="D20" s="151" t="str">
        <x:v>289 por profundidade</x:v>
      </x:c>
      <x:c r="E20" s="151" t="str"/>
      <x:c r="F20" s="151" t="str"/>
      <x:c r="G20" s="151" t="str"/>
      <x:c r="H20" s="151" t="str"/>
    </x:row>
    <x:row r="21">
      <x:c r="A21" s="156" t="str">
        <x:v>Resultado</x:v>
      </x:c>
      <x:c r="B21" s="156" t="str">
        <x:v>SUCESSO NO PROOF-OF-CONCEPT</x:v>
      </x:c>
      <x:c r="C21" s="156" t="str"/>
      <x:c r="D21" s="156" t="str">
        <x:v>Padrão espacial preservado nas três profundidades</x:v>
      </x:c>
      <x:c r="E21" s="156" t="str"/>
      <x:c r="F21" s="156" t="str"/>
      <x:c r="G21" s="156" t="str"/>
      <x:c r="H21" s="156" t="str"/>
    </x:row>
    <x:row r="22">
      <x:c r="A22" s="160" t="str">
        <x:v>Limitação</x:v>
      </x:c>
      <x:c r="B22" s="160" t="str">
        <x:v>Uma leitura por ponto</x:v>
      </x:c>
      <x:c r="C22" s="160" t="str"/>
      <x:c r="D22" s="160" t="str">
        <x:v>Sem estimativa experimental direta da repetibilidade local</x:v>
      </x:c>
      <x:c r="E22" s="160" t="str"/>
      <x:c r="F22" s="160" t="str"/>
      <x:c r="G22" s="160" t="str"/>
      <x:c r="H22" s="160" t="str"/>
    </x:row>
  </x:sheetData>
  <x:mergeCells>
    <x:mergeCell ref="A1:H1"/>
    <x:mergeCell ref="A2:H2"/>
    <x:mergeCell ref="A4:H4"/>
    <x:mergeCell ref="A11:H11"/>
    <x:mergeCell ref="A18:H18"/>
    <x:mergeCell ref="B21:C21"/>
    <x:mergeCell ref="D21:H21"/>
    <x:mergeCell ref="B22:C22"/>
    <x:mergeCell ref="D22:H22"/>
  </x:mergeCells>
  <x:pageMargins left="0.7" right="0.7" top="0.75" bottom="0.75" header="0.3" footer="0.3"/>
</x:worksheet>
</file>